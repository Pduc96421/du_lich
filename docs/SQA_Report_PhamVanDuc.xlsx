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worksheets/sheet8.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7" showHorizontalScroll="1" showVerticalScroll="1"/>
  </bookViews>
  <sheets>
    <sheet name="Phạm Văn Đức_Automatic tes" sheetId="1" state="visible" r:id="rId1"/>
    <sheet name="Phạm Văn Đức_UC kiểm tra" sheetId="2" state="visible" r:id="rId2"/>
    <sheet name="Phạm Văn Đức_Unit Test" sheetId="3" state="visible" r:id="rId3"/>
    <sheet name="Đức_Đánh giá kết quả" sheetId="4" state="visible" r:id="rId4"/>
    <sheet name="Phần 1 Code Review Checklist" sheetId="5" state="visible" r:id="rId5"/>
    <sheet name="Phạm Văn Đức SRS Review Ch" sheetId="6" state="visible" r:id="rId6"/>
    <sheet name="Phạm Văn Đức Code Review C" sheetId="7" state="visible" r:id="rId7"/>
    <sheet name="Phạm Văn Đức_Performance Te" sheetId="8" state="visible" r:id="rId8"/>
  </sheets>
  <calcPr fullCalcOnLoad="1"/>
  <extLst>
    <ext xmlns:x15="http://schemas.microsoft.com/office/spreadsheetml/2010/11/main" uri="{D0CA8CA8-9F24-4464-BF8E-62219DCF47F9}"/>
  </extLst>
</workbook>
</file>

<file path=xl/sharedStrings.xml><?xml version="1.0" encoding="utf-8"?>
<sst xmlns="http://schemas.openxmlformats.org/spreadsheetml/2006/main" count="966" uniqueCount="966">
  <si>
    <t xml:space="preserve">BÁO CÁO KIỂM THỬ TỰ ĐỘNG</t>
  </si>
  <si>
    <t xml:space="preserve">Kịch bản kiểm thử: Đánh giá tour và Feedback (Gửi feedback, xem danh sách và hủy xử lý).
 Ngày báo cáo: 13/06/2026
 Người thực hiện: Phạm Văn Đức</t>
  </si>
  <si>
    <t xml:space="preserve">I. Giới thiệu</t>
  </si>
  <si>
    <t xml:space="preserve">Báo cáo này nhằm đánh giá toàn diện hiệu quả, độ tin cậy và tính chính xác của luồng kiểm thử tự động hóa cho Module "Đánh giá tour và Feedback" trong "Hệ thống Website bán tour du lịch". Quá trình kiểm thử được thực hiện thông qua công cụ Katalon Studio (phiên bản WebUI), tập trung giám sát chặt chẽ các tính năng như gửi phản hồi (feedback) của người dùng, hiển thị danh sách phản hồi, và khả năng quản lý/hủy phản hồi của Admin.</t>
  </si>
  <si>
    <t xml:space="preserve">Mục tiêu chính của kịch bản kiểm thử là xác minh các chức năng cốt lõi thuộc luồng feedback phải hoạt động ổn định và chính xác trong nhiều điều kiện khác nhau. Các mục tiêu cụ thể bao gồm:
 - Đảm bảo tính toàn vẹn của dữ liệu từ khi người dùng bắt đầu gửi phản hồi cho đến khi hệ thống xác nhận và lưu thành công vào cơ sở dữ liệu với trạng thái mặc định "pending".
 - Xác thực khả năng validate đầu vào chặt chẽ: bắt lỗi khi để trống trường Vấn đề hoặc Nội dung, xử lý ký tự đặc biệt và tiếng Việt có dấu an toàn.
 - Mô phỏng và kiểm soát kịch bản Admin duyệt và hủy xử lý feedback, đảm bảo cập nhật đúng trạng thái Database từ "pending" sang "cancelled".
 - Kiểm tra trải nghiệm người dùng (UX) sau khi gửi feedback: hiển thị thông báo thành công và tự động làm trống form phản hồi.
 Trọng tâm đặc biệt của đợt kiểm thử này là đảm bảo phân quyền chặt chẽ giữa User (chỉ gửi feedback) và Admin (chỉ hủy feedback), đồng thời kiểm tra tính bảo mật chống SQL Injection và XSS Injection.</t>
  </si>
  <si>
    <t xml:space="preserve">II. Phương pháp kiểm thử</t>
  </si>
  <si>
    <t xml:space="preserve">1. Loại kiểm thử
 - Kiểm thử chức năng (Functional Testing): Tập trung xác minh từng chức năng đơn lẻ như nút "Gửi", ô nhập liệu Vấn đề, ô nhập Nội dung phản hồi, và khả năng hiển thị danh sách feedback.
 - Kiểm thử End-to-End (E2E Testing): Kiểm tra toàn diện luồng nghiệp vụ từ đầu đến cuối (User Journey): Đăng nhập → Gửi Feedback → Xem danh sách → Admin hủy feedback.
 - Kiểm thử Tích hợp (Integration Testing - UI Level): Đánh giá sự giao tiếp giữa Frontend và Backend API (/feedbacks/*) thông qua các phản hồi giao diện.
 2. Phương pháp tiếp cận
 - Tiếp cận theo mô hình "Hộp đen" (Black-box Testing): Các kịch bản được thiết kế hoàn toàn dựa trên giao diện người dùng mà không cần can thiệp mã nguồn.
 - Cơ chế mô phỏng hành động: Sử dụng các từ khóa cốt lõi của Playwright (page.locator, page.fill, page.click, page.goto) kết hợp với các cơ chế chờ thông minh (waitForElementVisible, waitForPageLoad) để xử lý các độ trễ mạng.
 - Chiến lược Xác minh kết quả (Verification &amp; Assertion): Áp dụng các lệnh kiểm chứng nghiêm ngặt tại từng chốt chặn quan trọng. Ví dụ: verifyElementVisible (đảm bảo thông báo thành công xuất hiện), verifyMatch (so sánh chính xác nội dung trả về như "Gửi phản hồi thành công!").
 - Quản lý Dữ liệu kiểm thử: Sử dụng tài khoản test đã có trong DB (nguyenvana@example.com / User@123456) để gửi feedback và tài khoản admin (admin@tourmanager.com / Admin@123456) để hủy feedback. Dữ liệu được cô lập để không ảnh hưởng đến số liệu thống kê thực tế của hệ thống.</t>
  </si>
  <si>
    <t xml:space="preserve">III. Công cụ kiểm thử</t>
  </si>
  <si>
    <t xml:space="preserve">Công cụ tự động hóa: Playwright Test Framework
- Nền tảng: Web Application
- Ứng dụng được kiểm thử: Hệ thống Website bán tour du lịch</t>
  </si>
  <si>
    <t xml:space="preserve">IV. PHÂN TÍCH CHI TIẾT KỊCH BẢN KIỂM THỬ</t>
  </si>
  <si>
    <t xml:space="preserve">Phần này sẽ phân tích chi tiết từng khối lệnh trong kịch bản kiểm thử tự động, giải thích mục đích và hoạt động của chúng.</t>
  </si>
  <si>
    <t xml:space="preserve">4.1. Khởi tạo và Thiết lập Môi trường</t>
  </si>
  <si>
    <t xml:space="preserve">Kịch bản bắt đầu bằng việc nạp các thư viện cần thiết và mở trình duyệt.</t>
  </si>
  <si>
    <t xml:space="preserve">Mã nguồn</t>
  </si>
  <si>
    <t xml:space="preserve">Diễn giải</t>
  </si>
  <si>
    <t xml:space="preserve">import { test, expect } from '@playwright/test';
import { execSync } from 'child_process';
const BASE_URL = 'http://localhost:5173';</t>
  </si>
  <si>
    <t xml:space="preserve">Khởi tạo Framework Playwright. Nạp thư viện test, expect để thực hiện các câu lệnh kiểm chứng.
Khai báo hằng số BASE_URL trỏ về môi trường test cục bộ.</t>
  </si>
  <si>
    <t xml:space="preserve">4.2. Giai đoạn 1: Đăng nhập và Điều hướng đến trang Feedback</t>
  </si>
  <si>
    <t xml:space="preserve">// Đăng nhập user
await page.goto(`${BASE_URL}/login`);
await page.fill('#email', 'nguyenvana@example.com');
await page.fill('#password', 'User@123456');
await page.click('button[type="submit"]');
await expect(page.locator('.ant-message-success').first()).toBeVisible({ timeout: 5000 });
await page.waitForURL(`${BASE_URL}/`, { timeout: 15000 });</t>
  </si>
  <si>
    <t xml:space="preserve">Mở trình duyệt và truy cập trang đăng nhập bằng Playwright.
Điền thông tin tài khoản bằng page.fill.
Chờ thông báo thành công xuất hiện và xác minh URL chuyển hướng.</t>
  </si>
  <si>
    <t xml:space="preserve">4.3. Giai đoạn 2: Luồng chính - Gửi phản hồi (Feedback)</t>
  </si>
  <si>
    <t xml:space="preserve">// TC-Auto-01: Nhập thông tin phản hồi
await page.goto(`${BASE_URL}/feedback`);
await page.locator('input[name="title"]').first().fill('Lỗi hiển thị hình ảnh tour');
await page.locator('textarea[name="message"]').first().fill('Hình ảnh của tour Hạ Long bị mờ.');
await page.locator('button[type="submit"]').last().click();
await expect(page.locator('.ant-message-success').first()).toBeVisible({ timeout: 10000 });
// TC-Auto-02: Gửi phản hồi thất bại khi bỏ trống thông tin
await page.goto(`${BASE_URL}/feedback`);
await page.locator('button[type="submit"]').last().click();
await expect(page.locator('.ant-form-item-explain-error').first()).toBeVisible({ timeout: 5000 });</t>
  </si>
  <si>
    <t xml:space="preserve">Nhập đầy đủ tiêu đề vấn đề và nội dung phản hồi hợp lệ.
Nhấn nút Gửi và chờ thông báo thành công xuất hiện (toBeVisible).
Kiểm tra trường hợp bỏ trống: vào lại trang feedback, click Gửi mà không nhập gì và xác nhận các thông báo lỗi validation hiển thị đầy đủ.</t>
  </si>
  <si>
    <t xml:space="preserve">4.4. Giai đoạn 3: Admin xem danh sách và Hủy xử lý phản hồi</t>
  </si>
  <si>
    <t xml:space="preserve">// TC-Auto-03: Admin xem danh sách phản hồi và hủy phản hồi
await page.goto(`${BASE_URL}/admin/login`);
await page.fill('#email', 'admin@tourmanager.com');
await page.fill('#password', 'Admin@123456');
await page.click('button[type="submit"]');
await page.waitForURL('**/admin**');
await page.goto(`${BASE_URL}/admin/supports`);
const cancelBtn = page.locator('button:has-text("Đóng")').first();
if (await cancelBtn.isVisible()) {
  await cancelBtn.click();
  await page.locator('.ant-popconfirm button:has-text("Đóng")').first().click();
  await expect(page.locator('.ant-message-success').first()).toBeVisible({ timeout: 8000 });
}</t>
  </si>
  <si>
    <t xml:space="preserve">Đăng nhập tài khoản Admin.
Truy cập bảng Quản lý Hỗ trợ.
Kiểm tra nếu có feedback thì bấm nút Đóng/Hủy, xác nhận qua Popconfirm và kiểm chứng thông báo thành công.</t>
  </si>
  <si>
    <t xml:space="preserve">4.5. Giai đoạn 4: Đăng nhập tài khoản đã hoàn thành tour và gửi đánh giá thành công</t>
  </si>
  <si>
    <t xml:space="preserve">// TC-Auto-04: Đăng nhập tài khoản đã hoàn thành tour và gửi đánh giá thành công
// Reset Database
execSync("mysql -u root -p'Ducno96421!' -e \"use webbantourdulich; update orders set is_review = 0 where id = 2; delete from reviews where user_id = 2 and tour_id = 2;\"");
await page.goto(`${BASE_URL}/login`);
await page.fill('#email', 'tranthib@example.com');
await page.fill('#password', 'User@123456');
await page.click('button[type="submit"]');
await page.goto(`${BASE_URL}/order`);
await page.locator('.ant-segmented-item:has-text("Đã kết thúc")').first().click();
await page.locator('button:has-text("Đánh giá tour")').first().click();
await page.locator('.ant-rate-star').last().click();
await page.locator('textarea').first().fill('Tour rất tuyệt vời!');
await page.locator('button:has-text("HOÀN THÀNH")').first().click();
await expect(page.locator('.ant-message-success').first()).toBeVisible({ timeout: 10000 });</t>
  </si>
  <si>
    <t xml:space="preserve">Sử dụng lệnh execSync để can thiệp Database MySQL, reset trạng thái đơn hàng (Mở khóa nút Đánh giá).
Đăng nhập bằng tài khoản tranthib, vào lịch sử mua hàng, chọn tab Đã kết thúc.
Bấm Đánh giá tour, chọn 5 sao, nhập nội dung và Hoàn thành.</t>
  </si>
  <si>
    <t xml:space="preserve">4.6. Giai đoạn 5: Kiểm tra review mới xuất hiện trong trang chi tiết tour</t>
  </si>
  <si>
    <t xml:space="preserve">// TC-Auto-05: Kiểm tra review mới xuất hiện trong trang chi tiết tour
await page.goto(`${BASE_URL}/detail/2`);
const reviewTitle = page.locator('text=Đánh giá từ người dùng').first();
await reviewTitle.scrollIntoViewIfNeeded();
const reviewContent = page.locator('text=Tour rất tuyệt vời!').first();
await expect(reviewContent).toBeVisible({ timeout: 10000 });
const reviewerName = page.locator('text=tranthib').first();
await expect(reviewerName).toBeVisible({ timeout: 5000 });</t>
  </si>
  <si>
    <t xml:space="preserve">Chuyển đến trang xem chi tiết Tour (ID 2).
Cuộn trang (scrollIntoView) đến phần Đánh giá từ người dùng.
Xác minh nội dung vừa đánh giá và tên người dùng (tranthib) đã hiển thị thành công ra ngoài frontend.</t>
  </si>
  <si>
    <t xml:space="preserve">4.7. Giai đoạn 6: Người dùng chưa đăng nhập bị chặn (Route Protection)</t>
  </si>
  <si>
    <t xml:space="preserve">// TC-Auto-06: Người dùng chưa đăng nhập bị chặn truy cập trang Feedback
await page.goto(`${BASE_URL}/feedback`);
await expect(page).toHaveURL(`${BASE_URL}/login`);
const warningMsg = page.locator('.ant-notification-notice-message').first();
await expect(warningMsg).toHaveText('Chưa đăng nhập', { timeout: 5000 });</t>
  </si>
  <si>
    <t xml:space="preserve">Truy cập thẳng vào trang yêu cầu xác thực (/feedback) mà không có token đăng nhập.
Hệ thống Playwright kiểm chứng việc Router tự động đẩy về trang /login.
Kiểm chứng thông báo cảnh báo 'Chưa đăng nhập' bật lên góc phải màn hình.</t>
  </si>
  <si>
    <t xml:space="preserve">4.8. Giai đoạn 7: Validation nội dung đánh giá tối thiểu</t>
  </si>
  <si>
    <t xml:space="preserve">// TC-Auto-07: Validation form đánh giá - Yêu cầu nhập ít nhất 10 ký tự
await page.goto(`${BASE_URL}/order`);
await page.locator('.ant-segmented-item:has-text("Đã kết thúc")').first().click();
await page.locator('button:has-text("Đánh giá tour")').first().click();
// Điền 7 ký tự (Ít hơn 10)
await page.locator('textarea').first().fill('Rất tốt');
await page.locator('button:has-text("HOÀN THÀNH")').first().click();
// Xác nhận xuất hiện lỗi validation của Form
const errorMsg = page.locator('.ant-form-item-explain-error').first();
await expect(errorMsg).toBeVisible({ timeout: 5000 });</t>
  </si>
  <si>
    <t xml:space="preserve">Mở Modal Đánh giá tour.
Cố tình nhập nội dung chỉ có 7 ký tự ('Rất tốt') trong khi yêu cầu của schema validation là &gt;= 10 ký tự.
Nhấn Hoàn thành và kiểm chứng Playwright bắt được dòng text cảnh báo lỗi màu đỏ (explain-error) hiển thị dưới ô nhập liệu.</t>
  </si>
  <si>
    <t xml:space="preserve">4.9. Giai đoạn 8: Admin xem chi tiết nội dung Feedback</t>
  </si>
  <si>
    <t xml:space="preserve">// TC-Auto-08: Admin xem chi tiết nội dung Feedback
await page.goto(`${BASE_URL}/admin/supports`);
const viewBtn = page.locator('button:has-text("Xem chi tiết")').first();
if (await viewBtn.isVisible()) {
  await viewBtn.click();
  const modal = page.locator('.ant-modal-content').first();
  await expect(modal).toBeVisible({ timeout: 5000 });
  const closeBtn = page.locator('.ant-btn-primary').last();
  await closeBtn.click();
}</t>
  </si>
  <si>
    <t xml:space="preserve">Với vai trò Quản trị viên, mở trang Quản lý Hỗ trợ.
Tìm dòng Feedback đầu tiên trong bảng Ant Design Table và bấm nút 'Xem chi tiết'.
Đợi Modal (Popup) chứa chi tiết thông tin Feedback hiện ra (sử dụng expect.toBeVisible).
Kiểm tra việc bấm nút đóng popup hoạt động bình thường.</t>
  </si>
  <si>
    <t xml:space="preserve">MODULE 4: ĐÁNH GIÁ TOUR VÀ FEEDBACK</t>
  </si>
  <si>
    <t xml:space="preserve">I. Thống kê</t>
  </si>
  <si>
    <t xml:space="preserve">ProjectName: </t>
  </si>
  <si>
    <t xml:space="preserve">Hệ thống website bán tour du lịch</t>
  </si>
  <si>
    <t xml:space="preserve">Version: </t>
  </si>
  <si>
    <t>1.0</t>
  </si>
  <si>
    <t xml:space="preserve">Test environment: </t>
  </si>
  <si>
    <t xml:space="preserve">Ubuntu Linux, Chrome Browser</t>
  </si>
  <si>
    <t xml:space="preserve">Author: </t>
  </si>
  <si>
    <t xml:space="preserve">Phạm Văn Đức</t>
  </si>
  <si>
    <t xml:space="preserve">Create date: </t>
  </si>
  <si>
    <t>Evaluate:</t>
  </si>
  <si>
    <t xml:space="preserve">Ưu điểm: Giao diện trực quan, bắt lỗi chặt chẽ đầu vào (validate cả tiêu đề và nội dung). Xử lý phân quyền rõ ràng giữa khách hàng (gửi feedback) và quản trị viên (xem, hủy xử lý).
Nhược điểm: Chưa hỗ trợ đính kèm hình ảnh minh họa cho phản hồi của người dùng.</t>
  </si>
  <si>
    <t>Pass</t>
  </si>
  <si>
    <t>Fail</t>
  </si>
  <si>
    <t>Untested</t>
  </si>
  <si>
    <t>N/A</t>
  </si>
  <si>
    <t>Total</t>
  </si>
  <si>
    <t xml:space="preserve">II. Các chức năng của module</t>
  </si>
  <si>
    <t>STT</t>
  </si>
  <si>
    <t xml:space="preserve">Chức năng</t>
  </si>
  <si>
    <t xml:space="preserve">Test / Untest</t>
  </si>
  <si>
    <t xml:space="preserve">Lý do (nếu không test)</t>
  </si>
  <si>
    <t xml:space="preserve">Kỹ thuật test</t>
  </si>
  <si>
    <t xml:space="preserve">Lý do chọn kỹ thuật test</t>
  </si>
  <si>
    <t xml:space="preserve">Ghi chú</t>
  </si>
  <si>
    <t xml:space="preserve">Xem danh sách và tìm kiếm feedback (Admin)</t>
  </si>
  <si>
    <t>Test</t>
  </si>
  <si>
    <t xml:space="preserve">Equivalence Partitioning (Phân vùng tương đương), Boundary Value Analysis (Phân tích giá trị biên)</t>
  </si>
  <si>
    <t xml:space="preserve">Equivalence Partitioning: Giúp phân nhóm các từ khóa tìm kiếm (hợp lệ, không hợp lệ, ký tự đặc biệt, để trống) và phân trang (limit/page) nhằm tối ưu số lượng test case cần chạy mà vẫn bao phủ mọi trường hợp nghiệp vụ.</t>
  </si>
  <si>
    <t xml:space="preserve">Gửi phản hồi (Feedback - User)</t>
  </si>
  <si>
    <t xml:space="preserve">Decision Table Testing (Kiểm thử bảng quyết định), Error Guessing (Đoán lỗi)</t>
  </si>
  <si>
    <t xml:space="preserve">Decision Table Testing: Xác định sự kết hợp giữa các trường đầu vào (Tiêu đề, Nội dung) và quyền đăng nhập của User để quyết định kết quả lưu DB có hợp lệ hay báo lỗi. Error Guessing: Đoán các lỗi về định dạng chuỗi dài, ký tự đặc biệt hoặc spam click.</t>
  </si>
  <si>
    <t xml:space="preserve">Hủy xử lý phản hồi (Mark Cancelled - Admin)</t>
  </si>
  <si>
    <t xml:space="preserve">State Transition Testing (Kiểm thử chuyển đổi trạng thái)</t>
  </si>
  <si>
    <t xml:space="preserve">State Transition Testing: Xác minh dòng đời trạng thái của Feedback chuyển đổi từ 'pending' sang 'cancelled' một cách chính xác khi Admin thực hiện thao tác hủy xử lý.</t>
  </si>
  <si>
    <t xml:space="preserve">III. Các testcase</t>
  </si>
  <si>
    <t>ID</t>
  </si>
  <si>
    <t>Feature</t>
  </si>
  <si>
    <t xml:space="preserve">Testcase Purpose</t>
  </si>
  <si>
    <t xml:space="preserve">Testcase Description</t>
  </si>
  <si>
    <t>Input</t>
  </si>
  <si>
    <t xml:space="preserve">Expected Output</t>
  </si>
  <si>
    <t>Date</t>
  </si>
  <si>
    <t>Result</t>
  </si>
  <si>
    <t>Note</t>
  </si>
  <si>
    <t xml:space="preserve">1. Xem danh sách và tìm kiếm feedback (Admin)</t>
  </si>
  <si>
    <t>FB_1</t>
  </si>
  <si>
    <t xml:space="preserve">Giao diện</t>
  </si>
  <si>
    <t xml:space="preserve">Kiểm tra tổng thể giao diện danh sách feedback</t>
  </si>
  <si>
    <t xml:space="preserve">Kiểm tra bố cục, font chữ, chính tả, màu sắc bảng</t>
  </si>
  <si>
    <t xml:space="preserve">Các cột hiển thị rõ ràng: STT, Vấn đề, Nội dung, Trạng thái, Người gửi, Hành động. Không lỗi chính tả.</t>
  </si>
  <si>
    <t>FB_2</t>
  </si>
  <si>
    <t xml:space="preserve">Kiểm tra giao diện khi thu nhỏ, phóng to</t>
  </si>
  <si>
    <t xml:space="preserve">Nhấn Ctrl - và Ctrl + liên tục</t>
  </si>
  <si>
    <t xml:space="preserve">Màn hình responsive tốt, không bị vỡ bố cục bảng.</t>
  </si>
  <si>
    <t>FB_3</t>
  </si>
  <si>
    <t xml:space="preserve">Kiểm tra phím Tab di chuyển con trỏ</t>
  </si>
  <si>
    <t xml:space="preserve">Focus vào trang và nhấn Tab liên tục</t>
  </si>
  <si>
    <t xml:space="preserve">Con trỏ di chuyển tuần tự qua các nút Tìm kiếm, input search, và các hàng hành động.</t>
  </si>
  <si>
    <t>FB_4</t>
  </si>
  <si>
    <t xml:space="preserve">Kiểm tra phím Shift-Tab di chuyển ngược</t>
  </si>
  <si>
    <t xml:space="preserve">Focus vào trang và nhấn Shift-Tab liên tục</t>
  </si>
  <si>
    <t xml:space="preserve">Con trỏ di chuyển ngược lại đúng thứ tự.</t>
  </si>
  <si>
    <t>FB_5</t>
  </si>
  <si>
    <t xml:space="preserve">Kiểm tra phím Enter kích hoạt tìm kiếm</t>
  </si>
  <si>
    <t xml:space="preserve">Focus vào thanh tìm kiếm, nhập từ khóa và nhấn Enter</t>
  </si>
  <si>
    <t xml:space="preserve">Hệ thống thực hiện tìm kiếm mà không cần click chuột.</t>
  </si>
  <si>
    <t>FB_6</t>
  </si>
  <si>
    <t xml:space="preserve">Kiểm tra hover vào các nút</t>
  </si>
  <si>
    <t xml:space="preserve">Di chuột hover vào các nút Hủy, Xem</t>
  </si>
  <si>
    <t xml:space="preserve">Nút đổi màu, con trỏ đổi thành dạng bàn tay.</t>
  </si>
  <si>
    <t>FB_7</t>
  </si>
  <si>
    <t xml:space="preserve">Kiểm tra hiển thị dữ liệu bảng</t>
  </si>
  <si>
    <t xml:space="preserve">Kiểm tra xem bảng có hiển thị danh sách feedback</t>
  </si>
  <si>
    <t xml:space="preserve">Bảng hiển thị các feedback lấy từ DB kèm thông tin người gửi.</t>
  </si>
  <si>
    <t>FB_8</t>
  </si>
  <si>
    <t xml:space="preserve">Tìm kiếm với từ khóa hợp lệ có kết quả</t>
  </si>
  <si>
    <t xml:space="preserve">Nhập từ khóa tồn tại trong title/message</t>
  </si>
  <si>
    <t>search="Lỗi"</t>
  </si>
  <si>
    <t xml:space="preserve">Hiển thị danh sách feedback chứa từ khóa "Lỗi" trong tiêu đề hoặc nội dung.</t>
  </si>
  <si>
    <t>FB_9</t>
  </si>
  <si>
    <t xml:space="preserve">Tìm kiếm không có kết quả</t>
  </si>
  <si>
    <t xml:space="preserve">Nhập từ khóa không tồn tại</t>
  </si>
  <si>
    <t>search="xyz123"</t>
  </si>
  <si>
    <t xml:space="preserve">Hiển thị bảng trống hoặc thông báo không tìm thấy kết quả.</t>
  </si>
  <si>
    <t>FB_10</t>
  </si>
  <si>
    <t xml:space="preserve">Tìm kiếm với từ khóa để trống</t>
  </si>
  <si>
    <t xml:space="preserve">Nhấp vào nút Tìm kiếm khi input rỗng</t>
  </si>
  <si>
    <t>search=""</t>
  </si>
  <si>
    <t xml:space="preserve">Hiển thị toàn bộ danh sách feedback.</t>
  </si>
  <si>
    <t>FB_11</t>
  </si>
  <si>
    <t xml:space="preserve">Tìm kiếm từ khóa có khoảng trắng thừa</t>
  </si>
  <si>
    <t xml:space="preserve">Nhập từ khóa có khoảng trắng đầu/cuối</t>
  </si>
  <si>
    <t xml:space="preserve">search="  lỗi  "</t>
  </si>
  <si>
    <t xml:space="preserve">Hệ thống tự trim khoảng trắng và hiển thị kết quả khớp với "lỗi".</t>
  </si>
  <si>
    <t>FB_12</t>
  </si>
  <si>
    <t xml:space="preserve">Kiểm tra phân trang feedback</t>
  </si>
  <si>
    <t xml:space="preserve">Danh sách feedback nhiều hơn 10</t>
  </si>
  <si>
    <t xml:space="preserve">page=2, limit=10</t>
  </si>
  <si>
    <t xml:space="preserve">Hiển thị các feedback ở trang số 2.</t>
  </si>
  <si>
    <t>FB_13</t>
  </si>
  <si>
    <t xml:space="preserve">Lấy feedback với limit tùy chỉnh</t>
  </si>
  <si>
    <t xml:space="preserve">Thay đổi limit qua query params</t>
  </si>
  <si>
    <t>limit=5</t>
  </si>
  <si>
    <t xml:space="preserve">Hiển thị tối đa 5 feedback trên trang.</t>
  </si>
  <si>
    <t>FB_14</t>
  </si>
  <si>
    <t xml:space="preserve">Kiểm tra gọi API get-feedback không đăng nhập</t>
  </si>
  <si>
    <t xml:space="preserve">Gọi API không gửi kèm token</t>
  </si>
  <si>
    <t xml:space="preserve">Không có token</t>
  </si>
  <si>
    <t xml:space="preserve">Trả về lỗi HTTP 401 Unauthorized.</t>
  </si>
  <si>
    <t xml:space="preserve">2. Gửi phản hồi (Feedback - User)</t>
  </si>
  <si>
    <t>FB_16</t>
  </si>
  <si>
    <t xml:space="preserve">Kiểm tra giao diện form gửi feedback</t>
  </si>
  <si>
    <t xml:space="preserve">Kiểm tra sự hiển thị các trường Vấn đề, Nội dung, nút Gửi</t>
  </si>
  <si>
    <t xml:space="preserve">Form hiển thị đầy đủ, căn chỉnh cân đối, nhãn rõ ràng.</t>
  </si>
  <si>
    <t>FB_17</t>
  </si>
  <si>
    <t xml:space="preserve">Kiểm tra zoom màn hình form feedback</t>
  </si>
  <si>
    <t xml:space="preserve">Nhấn Ctrl + và Ctrl - trên trang form</t>
  </si>
  <si>
    <t xml:space="preserve">Form không bị vỡ giao diện, tự co giãn tương thích.</t>
  </si>
  <si>
    <t>FB_18</t>
  </si>
  <si>
    <t xml:space="preserve">Kiểm tra phím Tab di chuyển con trỏ trên form</t>
  </si>
  <si>
    <t xml:space="preserve">Nhấn Tab từ trường Vấn đề</t>
  </si>
  <si>
    <t xml:space="preserve">Con trỏ di chuyển xuống trường Nội dung, sau đó xuống nút Gửi.</t>
  </si>
  <si>
    <t>FB_19</t>
  </si>
  <si>
    <t xml:space="preserve">Kiểm tra phím Shift-Tab trên form</t>
  </si>
  <si>
    <t xml:space="preserve">Nhấn Shift-Tab từ nút Gửi</t>
  </si>
  <si>
    <t xml:space="preserve">Con trỏ di chuyển ngược lên trường Nội dung, sau đó lên Vấn đề.</t>
  </si>
  <si>
    <t>FB_20</t>
  </si>
  <si>
    <t xml:space="preserve">Kiểm tra nhấn Enter gửi form</t>
  </si>
  <si>
    <t xml:space="preserve">Focus nút Gửi và nhấn Enter</t>
  </si>
  <si>
    <t xml:space="preserve">Hệ thống tiến hành gửi form phản hồi.</t>
  </si>
  <si>
    <t>FB_21</t>
  </si>
  <si>
    <t xml:space="preserve">Kiểm tra hover nút Gửi</t>
  </si>
  <si>
    <t xml:space="preserve">Di chuột vào nút Gửi</t>
  </si>
  <si>
    <t xml:space="preserve">Nút Gửi đổi sang màu cam đậm hơn, trỏ chuột biến thành bàn tay.</t>
  </si>
  <si>
    <t>FB_22</t>
  </si>
  <si>
    <t>Validate</t>
  </si>
  <si>
    <t xml:space="preserve">Để trống cả Vấn đề và Nội dung</t>
  </si>
  <si>
    <t xml:space="preserve">Click nút Gửi mà không điền gì</t>
  </si>
  <si>
    <t xml:space="preserve">Vấn đề="", Nội dung=""</t>
  </si>
  <si>
    <t xml:space="preserve">Hiển thị lỗi validation: "Vui lòng nhập vấn đề" và "Vui lòng nhập nội dung".</t>
  </si>
  <si>
    <t>FB_23</t>
  </si>
  <si>
    <t xml:space="preserve">Chỉ nhập Vấn đề, bỏ trống Nội dung</t>
  </si>
  <si>
    <t xml:space="preserve">Điền tiêu đề vấn đề và click Gửi</t>
  </si>
  <si>
    <t xml:space="preserve">Vấn đề="Lỗi thanh toán", Nội dung=""</t>
  </si>
  <si>
    <t xml:space="preserve">Hiển thị lỗi: "Vui lòng nhập nội dung chi tiết".</t>
  </si>
  <si>
    <t>FB_24</t>
  </si>
  <si>
    <t xml:space="preserve">Chỉ nhập Nội dung, bỏ trống Vấn đề</t>
  </si>
  <si>
    <t xml:space="preserve">Điền nội dung chi tiết và click Gửi</t>
  </si>
  <si>
    <t xml:space="preserve">Vấn đề="", Nội dung="Không nhận được mail"</t>
  </si>
  <si>
    <t xml:space="preserve">Hiển thị lỗi: "Vui lòng nhập vấn đề bạn gặp phải".</t>
  </si>
  <si>
    <t>FB_25</t>
  </si>
  <si>
    <t xml:space="preserve">Gửi feedback thành công với đầy đủ thông tin</t>
  </si>
  <si>
    <t xml:space="preserve">Nhập tiêu đề và nội dung hợp lệ, nhấn Gửi</t>
  </si>
  <si>
    <t xml:space="preserve">Vấn đề="Lỗi hạt cát", Nội dung="Tour Côn Đảo bị thiếu nước suối"</t>
  </si>
  <si>
    <t xml:space="preserve">Hiện thông báo thành công "Gửi phản hồi thành công!", form được reset trống.</t>
  </si>
  <si>
    <t>FB_26</t>
  </si>
  <si>
    <t xml:space="preserve">Gửi feedback chứa ký tự tiếng Việt có dấu</t>
  </si>
  <si>
    <t xml:space="preserve">Nhập tiêu đề và nội dung tiếng Việt</t>
  </si>
  <si>
    <t xml:space="preserve">Vấn đề="Đánh giá hướng dẫn viên", Nội dung="HDV rất nhiệt tình, chu đáo."</t>
  </si>
  <si>
    <t xml:space="preserve">Gửi thành công, dữ liệu lưu DB đúng định dạng UTF-8.</t>
  </si>
  <si>
    <t>FB_27</t>
  </si>
  <si>
    <t xml:space="preserve">Gửi feedback chứa các ký tự đặc biệt</t>
  </si>
  <si>
    <t xml:space="preserve">Nhập tiêu đề chứa ký tự lạ</t>
  </si>
  <si>
    <t xml:space="preserve">Vấn đề="Lỗi!!! @#$%", Nội dung="Kiểm tra kí tự &amp;^&amp;*()_+"</t>
  </si>
  <si>
    <t xml:space="preserve">Gửi thành công, hệ thống xử lý lưu DB an toàn.</t>
  </si>
  <si>
    <t>FB_28</t>
  </si>
  <si>
    <t xml:space="preserve">Gửi feedback có độ dài tiêu đề cực ngắn</t>
  </si>
  <si>
    <t xml:space="preserve">Nhập tiêu đề 1 ký tự</t>
  </si>
  <si>
    <t xml:space="preserve">Vấn đề="A", Nội dung="Nội dung kiểm tra"</t>
  </si>
  <si>
    <t xml:space="preserve">Hệ thống gửi thành công và lưu DB.</t>
  </si>
  <si>
    <t>FB_29</t>
  </si>
  <si>
    <t xml:space="preserve">Gửi feedback có độ dài tiêu đề quá dài</t>
  </si>
  <si>
    <t xml:space="preserve">Nhập tiêu đề 300 ký tự</t>
  </si>
  <si>
    <t xml:space="preserve">Vấn đề="A" * 300, Nội dung="Nội dung kiểm tra"</t>
  </si>
  <si>
    <t xml:space="preserve">Hệ thống cắt chuỗi hoặc báo lỗi độ dài vượt quá giới hạn.</t>
  </si>
  <si>
    <t>FB_30</t>
  </si>
  <si>
    <t xml:space="preserve">Gửi feedback có nội dung cực dài</t>
  </si>
  <si>
    <t xml:space="preserve">Nhập nội dung 2000 ký tự</t>
  </si>
  <si>
    <t xml:space="preserve">Vấn đề="Lỗi nội dung", Nội dung="A" * 2000</t>
  </si>
  <si>
    <t xml:space="preserve">Hệ thống lưu thành công hoặc thông báo quá giới hạn.</t>
  </si>
  <si>
    <t>FB_31</t>
  </si>
  <si>
    <t xml:space="preserve">Gửi feedback khi chưa đăng nhập</t>
  </si>
  <si>
    <t xml:space="preserve">Xóa cookie session và click Gửi</t>
  </si>
  <si>
    <t xml:space="preserve">Hệ thống chuyển hướng về trang /login hoặc thông báo "Vui lòng đăng nhập".</t>
  </si>
  <si>
    <t>FB_32</t>
  </si>
  <si>
    <t xml:space="preserve">Gửi feedback bằng tài khoản admin</t>
  </si>
  <si>
    <t xml:space="preserve">Đăng nhập admin và gọi API create-feedback</t>
  </si>
  <si>
    <t xml:space="preserve">Token admin</t>
  </si>
  <si>
    <t xml:space="preserve">Trả về lỗi HTTP 403, "Chỉ user mới có thể tạo feedback".</t>
  </si>
  <si>
    <t>FB_33</t>
  </si>
  <si>
    <t xml:space="preserve">Kiểm tra gửi feedback đính kèm hình ảnh</t>
  </si>
  <si>
    <t xml:space="preserve">Gửi feedback kèm file ảnh</t>
  </si>
  <si>
    <t xml:space="preserve">Đính kèm image.jpg</t>
  </si>
  <si>
    <t xml:space="preserve">Không thực hiện được vì giao diện hiện tại chỉ hỗ trợ text.</t>
  </si>
  <si>
    <t xml:space="preserve">Môi trường chưa phát triển tính năng đính kèm file</t>
  </si>
  <si>
    <t>FB_34</t>
  </si>
  <si>
    <t xml:space="preserve">Kiểm tra chống spam click nút gửi</t>
  </si>
  <si>
    <t xml:space="preserve">Click liên tiếp nút Gửi 5 lần trong 1 giây</t>
  </si>
  <si>
    <t xml:space="preserve">Spam click</t>
  </si>
  <si>
    <t xml:space="preserve">Nút Gửi chuyển thành loading/disabled, hệ thống chỉ tạo 1 feedback duy nhất.</t>
  </si>
  <si>
    <t>FB_35</t>
  </si>
  <si>
    <t xml:space="preserve">Kiểm tra trạng thái mặc định của feedback mới</t>
  </si>
  <si>
    <t xml:space="preserve">Gửi feedback thành công</t>
  </si>
  <si>
    <t xml:space="preserve">Vấn đề="Check status", Nội dung="Check"</t>
  </si>
  <si>
    <t xml:space="preserve">Feedback được lưu trong DB với trạng thái default là "pending".</t>
  </si>
  <si>
    <t>FB_36</t>
  </si>
  <si>
    <t xml:space="preserve">Bảo mật</t>
  </si>
  <si>
    <t xml:space="preserve">Kiểm tra XSS Injection trong form</t>
  </si>
  <si>
    <t xml:space="preserve">Nhập mã javascript</t>
  </si>
  <si>
    <t xml:space="preserve">Vấn đề="&lt;script&gt;alert(1)&lt;/script&gt;", Nội dung="test"</t>
  </si>
  <si>
    <t xml:space="preserve">Mã script được escape hoặc render dưới dạng text thuần, không bị thực thi.</t>
  </si>
  <si>
    <t xml:space="preserve">3. Hủy xử lý phản hồi (Mark Cancelled - Admin)</t>
  </si>
  <si>
    <t>FB_38</t>
  </si>
  <si>
    <t xml:space="preserve">Kiểm tra sự hiển thị nút Hủy</t>
  </si>
  <si>
    <t xml:space="preserve">Vào trang admin/supports, kiểm tra cột hành động</t>
  </si>
  <si>
    <t xml:space="preserve">Mỗi hàng feedback pending có hiển thị nút Hủy tương ứng.</t>
  </si>
  <si>
    <t>FB_39</t>
  </si>
  <si>
    <t xml:space="preserve">Kiểm tra hover vào nút Hủy</t>
  </si>
  <si>
    <t xml:space="preserve">Di chuột vào nút Hủy của feedback</t>
  </si>
  <si>
    <t xml:space="preserve">Nút đổi sang màu đỏ đậm hơn, trỏ chuột biến thành bàn tay.</t>
  </si>
  <si>
    <t>FB_40</t>
  </si>
  <si>
    <t xml:space="preserve">Kiểm tra di chuyển trỏ qua nút Hủy bằng Tab</t>
  </si>
  <si>
    <t xml:space="preserve">Nhấn Tab để focus vào hàng</t>
  </si>
  <si>
    <t xml:space="preserve">Con trỏ có thể focus vào nút Hủy của từng dòng.</t>
  </si>
  <si>
    <t>FB_41</t>
  </si>
  <si>
    <t xml:space="preserve">Kiểm tra phím Enter kích hoạt nút Hủy</t>
  </si>
  <si>
    <t xml:space="preserve">Focus vào nút Hủy và nhấn Enter</t>
  </si>
  <si>
    <t xml:space="preserve">Popup xác nhận hoặc hành động hủy được kích hoạt.</t>
  </si>
  <si>
    <t>FB_42</t>
  </si>
  <si>
    <t xml:space="preserve">Hủy feedback thành công</t>
  </si>
  <si>
    <t xml:space="preserve">Click nút Hủy đối với feedback đang pending</t>
  </si>
  <si>
    <t xml:space="preserve">Feedback ID=1 (pending)</t>
  </si>
  <si>
    <t xml:space="preserve">Feedback chuyển sang trạng thái "cancelled", hiển thị thông báo thành công.</t>
  </si>
  <si>
    <t>FB_43</t>
  </si>
  <si>
    <t xml:space="preserve">Hủy feedback đã ở trạng thái cancelled</t>
  </si>
  <si>
    <t xml:space="preserve">Gửi API put /mark-cancelled/1 lần thứ hai</t>
  </si>
  <si>
    <t xml:space="preserve">Feedback ID=1 (cancelled)</t>
  </si>
  <si>
    <t xml:space="preserve">Trả về lỗi "Feedback đã được hủy trước đó" hoặc không cho phép click lại.</t>
  </si>
  <si>
    <t>FB_44</t>
  </si>
  <si>
    <t xml:space="preserve">Hủy feedback với ID không tồn tại</t>
  </si>
  <si>
    <t xml:space="preserve">Gọi API put /mark-cancelled/999999</t>
  </si>
  <si>
    <t xml:space="preserve">Feedback ID=999999</t>
  </si>
  <si>
    <t xml:space="preserve">Trả về lỗi HTTP 404 hoặc thông báo "Feedback không tồn tại".</t>
  </si>
  <si>
    <t>FB_45</t>
  </si>
  <si>
    <t xml:space="preserve">Hủy feedback với ID không hợp lệ</t>
  </si>
  <si>
    <t xml:space="preserve">Gọi API put /mark-cancelled/abc</t>
  </si>
  <si>
    <t xml:space="preserve">Feedback ID="abc"</t>
  </si>
  <si>
    <t xml:space="preserve">Trả về lỗi HTTP 400, "ID feedback không hợp lệ".</t>
  </si>
  <si>
    <t>FB_46</t>
  </si>
  <si>
    <t xml:space="preserve">Hủy feedback với ID âm</t>
  </si>
  <si>
    <t xml:space="preserve">Gọi API put /mark-cancelled/-5</t>
  </si>
  <si>
    <t xml:space="preserve">Feedback ID=-5</t>
  </si>
  <si>
    <t>FB_47</t>
  </si>
  <si>
    <t xml:space="preserve">Kiểm tra phân quyền Admin hủy feedback</t>
  </si>
  <si>
    <t xml:space="preserve">Gửi request mark-cancelled bằng token user thường</t>
  </si>
  <si>
    <t xml:space="preserve">Token user thường</t>
  </si>
  <si>
    <t xml:space="preserve">Trả về lỗi HTTP 403, "Chỉ admin mới có quyền thực hiện thao tác này".</t>
  </si>
  <si>
    <t>FB_48</t>
  </si>
  <si>
    <t xml:space="preserve">Kiểm tra hủy feedback khi chưa đăng nhập</t>
  </si>
  <si>
    <t xml:space="preserve">Gửi request mark-cancelled không kèm token</t>
  </si>
  <si>
    <t xml:space="preserve">Trả về lỗi HTTP 401, "Vui lòng đăng nhập".</t>
  </si>
  <si>
    <t>FB_49</t>
  </si>
  <si>
    <t xml:space="preserve">Kiểm tra dữ liệu DB sau khi hủy</t>
  </si>
  <si>
    <t xml:space="preserve">Query trực tiếp DB sau khi hủy feedback</t>
  </si>
  <si>
    <t xml:space="preserve">Feedback ID=1</t>
  </si>
  <si>
    <t xml:space="preserve">Cột status trong bảng feedbacks chuyển thành "cancelled", các thông tin khác giữ nguyên.</t>
  </si>
  <si>
    <t>FB_50</t>
  </si>
  <si>
    <t xml:space="preserve">Kiểm tra refetch danh sách sau khi hủy</t>
  </si>
  <si>
    <t xml:space="preserve">Hủy feedback thành công trên UI</t>
  </si>
  <si>
    <t xml:space="preserve">Bảng danh sách tự động cập nhật lại dòng dữ liệu đó thành trạng thái Cancelled.</t>
  </si>
  <si>
    <t>FB_51</t>
  </si>
  <si>
    <t xml:space="preserve">Kiểm tra mất kết nối mạng khi hủy</t>
  </si>
  <si>
    <t xml:space="preserve">Click hủy và ngắt mạng ngay lập tức</t>
  </si>
  <si>
    <t xml:space="preserve">Ngắt mạng</t>
  </si>
  <si>
    <t xml:space="preserve">Giao diện báo lỗi mất kết nối, trạng thái UI giữ nguyên, khi có mạng lại đồng bộ đúng.</t>
  </si>
  <si>
    <t>FB_52</t>
  </si>
  <si>
    <t xml:space="preserve">Kiểm tra spam click nút Hủy</t>
  </si>
  <si>
    <t xml:space="preserve">Click liên tiếp nút Hủy 3 lần</t>
  </si>
  <si>
    <t xml:space="preserve">Nút bấm disabled ngay sau lần click đầu, chỉ gửi duy nhất 1 request.</t>
  </si>
  <si>
    <t xml:space="preserve">4. Đánh giá tour và hiển thị kết quả (User)</t>
  </si>
  <si>
    <t>RT_1</t>
  </si>
  <si>
    <t xml:space="preserve">Kiểm tra hiển thị nút Đánh giá ở đơn hàng đã hoàn thành</t>
  </si>
  <si>
    <t xml:space="preserve">Vào trang Lịch sử đơn hàng, kiểm tra các đơn hàng đã đi</t>
  </si>
  <si>
    <t xml:space="preserve">Có nút Đánh giá ở mỗi đơn hàng có trạng thái Hoàn thành.</t>
  </si>
  <si>
    <t>RT_2</t>
  </si>
  <si>
    <t xml:space="preserve">Kiểm tra hiển thị modal đánh giá khi bấm nút</t>
  </si>
  <si>
    <t xml:space="preserve">Click nút Đánh giá ở đơn hàng hoàn thành</t>
  </si>
  <si>
    <t xml:space="preserve">Modal đánh giá mở ra với form: chất lượng sản phẩm (rating), ý kiến (text area), nút Gửi.</t>
  </si>
  <si>
    <t>RT_3</t>
  </si>
  <si>
    <t xml:space="preserve">Kiểm tra responsive của modal đánh giá</t>
  </si>
  <si>
    <t xml:space="preserve">Thu nhỏ màn hình xuống kích thước mobile</t>
  </si>
  <si>
    <t xml:space="preserve">Giao diện hiển thị tốt, form co giãn hợp lý không bị tràn viền.</t>
  </si>
  <si>
    <t>RT_4</t>
  </si>
  <si>
    <t xml:space="preserve">Gửi đánh giá thành công với rating 5 sao</t>
  </si>
  <si>
    <t xml:space="preserve">Nhập ý kiến đánh giá và chọn 5 sao, click Hoàn thành</t>
  </si>
  <si>
    <t xml:space="preserve">rating=5, comment="Tour rất tuyệt vời!"</t>
  </si>
  <si>
    <t xml:space="preserve">Đánh giá thành công, thông báo xuất hiện, trạng thái đơn hàng cập nhật is_review=1.</t>
  </si>
  <si>
    <t>RT_5</t>
  </si>
  <si>
    <t xml:space="preserve">Gửi đánh giá thành công với rating 1 sao</t>
  </si>
  <si>
    <t xml:space="preserve">Nhập ý kiến đánh giá và chọn 1 sao, click Hoàn thành</t>
  </si>
  <si>
    <t xml:space="preserve">rating=1, comment="Chất lượng phục vụ kém."</t>
  </si>
  <si>
    <t>RT_6</t>
  </si>
  <si>
    <t xml:space="preserve">Gửi đánh giá thất bại khi bỏ trống ý kiến</t>
  </si>
  <si>
    <t xml:space="preserve">Chọn rating 5 sao, để trống ý kiến, click Hoàn thành</t>
  </si>
  <si>
    <t xml:space="preserve">rating=5, comment=""</t>
  </si>
  <si>
    <t xml:space="preserve">Báo lỗi validation "Vui lòng nhập nội dung đánh giá!", không gửi được.</t>
  </si>
  <si>
    <t>RT_7</t>
  </si>
  <si>
    <t xml:space="preserve">Gửi đánh giá chứa tiếng Việt và ký tự đặc biệt</t>
  </si>
  <si>
    <t xml:space="preserve">Nhập comment tiếng Việt có dấu và ký tự lạ</t>
  </si>
  <si>
    <t xml:space="preserve">rating=4, comment="Tour tốt!!! @2026"</t>
  </si>
  <si>
    <t xml:space="preserve">Gửi thành công, nội dung lưu DB đúng định dạng UTF-8.</t>
  </si>
  <si>
    <t>RT_8</t>
  </si>
  <si>
    <t xml:space="preserve">Kiểm tra rating mặc định</t>
  </si>
  <si>
    <t xml:space="preserve">Mở modal đánh giá của đơn hàng chưa đánh giá</t>
  </si>
  <si>
    <t xml:space="preserve">Trạng thái rating mặc định hiển thị là 5 sao.</t>
  </si>
  <si>
    <t>RT_9</t>
  </si>
  <si>
    <t xml:space="preserve">Kiểm tra chặn đánh giá cho đơn hàng chưa hoàn thành</t>
  </si>
  <si>
    <t xml:space="preserve">Kiểm tra các đơn hàng chưa hoàn thành (đã thanh toán/đang đi)</t>
  </si>
  <si>
    <t xml:space="preserve">Không hiển thị nút Đánh giá ở đơn hàng chưa hoàn thành.</t>
  </si>
  <si>
    <t>RT_10</t>
  </si>
  <si>
    <t xml:space="preserve">Kiểm tra trạng thái nút Đánh giá sau khi gửi</t>
  </si>
  <si>
    <t xml:space="preserve">Đánh giá đơn hàng thành công, tải lại trang lịch sử</t>
  </si>
  <si>
    <t xml:space="preserve">Nút Đánh giá của đơn hàng đó biến mất hoặc chuyển thành "Xem đánh giá".</t>
  </si>
  <si>
    <t>RT_11</t>
  </si>
  <si>
    <t xml:space="preserve">Kiểm tra hiển thị review mới trên trang chi tiết tour</t>
  </si>
  <si>
    <t xml:space="preserve">Mở trang chi tiết tour tương ứng sau khi đánh giá</t>
  </si>
  <si>
    <t xml:space="preserve">Review mới xuất hiện trong danh sách đánh giá của tour kèm tên người gửi.</t>
  </si>
  <si>
    <t>RT_12</t>
  </si>
  <si>
    <t xml:space="preserve">Kiểm tra cập nhật rating trung bình của tour</t>
  </si>
  <si>
    <t xml:space="preserve">Đánh giá tour và kiểm tra điểm trung bình của tour</t>
  </si>
  <si>
    <t xml:space="preserve">Điểm rating trung bình của tour tự động cập nhật lại theo thuật toán.</t>
  </si>
  <si>
    <t>RT_13</t>
  </si>
  <si>
    <t xml:space="preserve">Kiểm tra chặn khách vãng lai đánh giá</t>
  </si>
  <si>
    <t xml:space="preserve">Truy cập trực tiếp URL trang lịch sử đơn hàng hoặc gửi API khi chưa đăng nhập</t>
  </si>
  <si>
    <t xml:space="preserve">Hệ thống chặn truy cập, báo lỗi hoặc chuyển hướng về trang đăng nhập.</t>
  </si>
  <si>
    <t>RT_14</t>
  </si>
  <si>
    <t xml:space="preserve">Kiểm tra SQL Injection trong nội dung đánh giá</t>
  </si>
  <si>
    <t xml:space="preserve">Nhập mã sql injection vào ô ý kiến</t>
  </si>
  <si>
    <t xml:space="preserve">comment="' OR 1=1 --"</t>
  </si>
  <si>
    <t xml:space="preserve">Gửi thành công, lưu DB an toàn dưới dạng text thuần, không lỗi SQL.</t>
  </si>
  <si>
    <t>RT_15</t>
  </si>
  <si>
    <t xml:space="preserve">Kiểm tra XSS Injection trong nội dung đánh giá</t>
  </si>
  <si>
    <t xml:space="preserve">Nhập mã script html/js vào ô ý kiến</t>
  </si>
  <si>
    <t>comment="&lt;script&gt;alert(1)&lt;/script&gt;"</t>
  </si>
  <si>
    <t xml:space="preserve">Gửi thành công, mã script được escape an toàn khi hiển thị ở trang chi tiết tour.</t>
  </si>
  <si>
    <t xml:space="preserve">Mã testcase</t>
  </si>
  <si>
    <t xml:space="preserve">Lớp điều khiển</t>
  </si>
  <si>
    <t xml:space="preserve">Phương thức</t>
  </si>
  <si>
    <t xml:space="preserve">Trường hợp test</t>
  </si>
  <si>
    <t xml:space="preserve">Mục tiêu test</t>
  </si>
  <si>
    <t>Pass/Fail</t>
  </si>
  <si>
    <t xml:space="preserve">Màn hình kết quả chạy</t>
  </si>
  <si>
    <t>FB_UT_01</t>
  </si>
  <si>
    <t>FeedbackController</t>
  </si>
  <si>
    <t>createFeedback</t>
  </si>
  <si>
    <t xml:space="preserve">Thiếu token xác thực</t>
  </si>
  <si>
    <t xml:space="preserve">Bảo mật API</t>
  </si>
  <si>
    <t xml:space="preserve">Gọi API không gửi Headers Auth</t>
  </si>
  <si>
    <t xml:space="preserve">HTTP 401, Message: "Vui lòng đăng nhập"</t>
  </si>
  <si>
    <t xml:space="preserve">Chặn khách vãng lai gửi feedback</t>
  </si>
  <si>
    <t>PASS</t>
  </si>
  <si>
    <t>FB_UT_02</t>
  </si>
  <si>
    <t xml:space="preserve">Đăng nhập bằng tài khoản admin</t>
  </si>
  <si>
    <t xml:space="preserve">Phân quyền API</t>
  </si>
  <si>
    <t xml:space="preserve">Auth token của admin</t>
  </si>
  <si>
    <t xml:space="preserve">HTTP 403, Message: "Chỉ user mới có thể tạo feedback"</t>
  </si>
  <si>
    <t xml:space="preserve">Chỉ cho phép user thường gửi feedback</t>
  </si>
  <si>
    <t>FB_UT_03</t>
  </si>
  <si>
    <t xml:space="preserve">Gửi body trống (không title, không message)</t>
  </si>
  <si>
    <t xml:space="preserve">Validate dữ liệu đầu vào</t>
  </si>
  <si>
    <t xml:space="preserve">req.body = {}</t>
  </si>
  <si>
    <t xml:space="preserve">HTTP 400, "Vui lòng nhập ít nhất title hoặc message"</t>
  </si>
  <si>
    <t xml:space="preserve">Tránh lưu feedback trống rỗng</t>
  </si>
  <si>
    <t>FB_UT_04</t>
  </si>
  <si>
    <t xml:space="preserve">Body chỉ có title</t>
  </si>
  <si>
    <t xml:space="preserve">Validate dữ liệu</t>
  </si>
  <si>
    <t xml:space="preserve">req.body = { title: "Lỗi" }</t>
  </si>
  <si>
    <t xml:space="preserve">HTTP 201, Trả về feedback object được tạo thành công</t>
  </si>
  <si>
    <t xml:space="preserve">Hợp lệ</t>
  </si>
  <si>
    <t>FB_UT_05</t>
  </si>
  <si>
    <t xml:space="preserve">Body chỉ có message</t>
  </si>
  <si>
    <t xml:space="preserve">req.body = { message: "Lỗi hiển thị" }</t>
  </si>
  <si>
    <t>FB_UT_06</t>
  </si>
  <si>
    <t xml:space="preserve">Body có cả title và message</t>
  </si>
  <si>
    <t xml:space="preserve">req.body = { title: "Lỗi", message: "Lỗi hiển thị" }</t>
  </si>
  <si>
    <t xml:space="preserve">HTTP 201, Trả về feedback object</t>
  </si>
  <si>
    <t>FB_UT_07</t>
  </si>
  <si>
    <t xml:space="preserve">Service ném exception ngẫu nhiên</t>
  </si>
  <si>
    <t xml:space="preserve">Xử lý lỗi hệ thống</t>
  </si>
  <si>
    <t xml:space="preserve">Mock service ném Error</t>
  </si>
  <si>
    <t xml:space="preserve">HTTP 500, "Có lỗi xảy ra khi tạo feedback"</t>
  </si>
  <si>
    <t xml:space="preserve">Đảm bảo bọc try-catch an toàn</t>
  </si>
  <si>
    <t>FB_UT_08</t>
  </si>
  <si>
    <t>getFeedbacks</t>
  </si>
  <si>
    <t xml:space="preserve">Admin lấy danh sách thành công</t>
  </si>
  <si>
    <t xml:space="preserve">Kiểm tra tính năng lấy feedback</t>
  </si>
  <si>
    <t xml:space="preserve">Query parameters rỗng</t>
  </si>
  <si>
    <t xml:space="preserve">HTTP 200, danh sách feedback và pagination</t>
  </si>
  <si>
    <t xml:space="preserve">Trả về toàn bộ feedback</t>
  </si>
  <si>
    <t>FB_UT_09</t>
  </si>
  <si>
    <t xml:space="preserve">Phân trang danh sách feedback</t>
  </si>
  <si>
    <t xml:space="preserve">Kiểm tra Pagination</t>
  </si>
  <si>
    <t xml:space="preserve">page = 2, limit = 5</t>
  </si>
  <si>
    <t xml:space="preserve">HTTP 200, trả về 5 feedback ở trang 2</t>
  </si>
  <si>
    <t xml:space="preserve">Đúng phân trang</t>
  </si>
  <si>
    <t>FB_UT_10</t>
  </si>
  <si>
    <t xml:space="preserve">Tìm kiếm theo từ khóa</t>
  </si>
  <si>
    <t xml:space="preserve">Kiểm tra Text search</t>
  </si>
  <si>
    <t xml:space="preserve">search = "hạ long"</t>
  </si>
  <si>
    <t xml:space="preserve">HTTP 200, danh sách feedback lọc theo từ khóa</t>
  </si>
  <si>
    <t xml:space="preserve">Tìm kiếm đa trường</t>
  </si>
  <si>
    <t>FB_UT_11</t>
  </si>
  <si>
    <t>FeedbackService</t>
  </si>
  <si>
    <t xml:space="preserve">Insert DB thành công</t>
  </si>
  <si>
    <t xml:space="preserve">Kiểm tra logic lưu DB</t>
  </si>
  <si>
    <t xml:space="preserve">Payload hợp lệ</t>
  </si>
  <si>
    <t xml:space="preserve">Trả về database record feedback vừa insert</t>
  </si>
  <si>
    <t xml:space="preserve">Lưu đúng thông tin</t>
  </si>
  <si>
    <t>FB_UT_12</t>
  </si>
  <si>
    <t xml:space="preserve">Tiêu đề chứa khoảng trắng</t>
  </si>
  <si>
    <t xml:space="preserve">Làm sạch dữ liệu</t>
  </si>
  <si>
    <t xml:space="preserve">title = "  Lỗi  "</t>
  </si>
  <si>
    <t xml:space="preserve">Feedback được tạo với title = "Lỗi"</t>
  </si>
  <si>
    <t xml:space="preserve">Trim text tự động</t>
  </si>
  <si>
    <t>FB_UT_13</t>
  </si>
  <si>
    <t xml:space="preserve">Độ dài nội dung vượt mức</t>
  </si>
  <si>
    <t xml:space="preserve">Ràng buộc độ dài</t>
  </si>
  <si>
    <t xml:space="preserve">message = "A" * 2000</t>
  </si>
  <si>
    <t xml:space="preserve">Ném lỗi validation của Sequelize</t>
  </si>
  <si>
    <t xml:space="preserve">Bảo vệ DB</t>
  </si>
  <si>
    <t>FB_UT_14</t>
  </si>
  <si>
    <t xml:space="preserve">User không tồn tại</t>
  </si>
  <si>
    <t xml:space="preserve">Ràng buộc khóa ngoại</t>
  </si>
  <si>
    <t xml:space="preserve">user_id = 999999</t>
  </si>
  <si>
    <t xml:space="preserve">Ném lỗi SequelizeForeignKeyConstraintError</t>
  </si>
  <si>
    <t xml:space="preserve">Rollback transaction</t>
  </si>
  <si>
    <t>FB_UT_15</t>
  </si>
  <si>
    <t xml:space="preserve">Trạng thái mặc định</t>
  </si>
  <si>
    <t xml:space="preserve">Ràng buộc giá trị default</t>
  </si>
  <si>
    <t xml:space="preserve">Feedback record có status = "pending"</t>
  </si>
  <si>
    <t xml:space="preserve">Pending mặc định</t>
  </si>
  <si>
    <t>FB_UT_16</t>
  </si>
  <si>
    <t>getAllFeedbacks</t>
  </si>
  <si>
    <t xml:space="preserve">Gọi không truyền search</t>
  </si>
  <si>
    <t xml:space="preserve">Kiểm tra query builder</t>
  </si>
  <si>
    <t xml:space="preserve">search = undefined</t>
  </si>
  <si>
    <t xml:space="preserve">Sinh query findAll không có filter LIKE</t>
  </si>
  <si>
    <t xml:space="preserve">Lấy hết</t>
  </si>
  <si>
    <t>FB_UT_17</t>
  </si>
  <si>
    <t xml:space="preserve">Gọi có truyền search</t>
  </si>
  <si>
    <t xml:space="preserve">search = "Lỗi"</t>
  </si>
  <si>
    <t xml:space="preserve">Sinh query findAll chứa Op.or [title, message] LIKE %Lỗi%</t>
  </si>
  <si>
    <t xml:space="preserve">Tìm kiếm tương đối</t>
  </si>
  <si>
    <t>FB_UT_18</t>
  </si>
  <si>
    <t xml:space="preserve">DB rỗng</t>
  </si>
  <si>
    <t xml:space="preserve">Xử lý mảng rỗng</t>
  </si>
  <si>
    <t xml:space="preserve">Không có feedback nào</t>
  </si>
  <si>
    <t xml:space="preserve">Trả về { feedbacks: [], pagination: {...} }</t>
  </si>
  <si>
    <t xml:space="preserve">An toàn</t>
  </si>
  <si>
    <t>FB_UT_19</t>
  </si>
  <si>
    <t xml:space="preserve">Limit âm</t>
  </si>
  <si>
    <t xml:space="preserve">Xử lý tham số biên</t>
  </si>
  <si>
    <t xml:space="preserve">limit = -5</t>
  </si>
  <si>
    <t xml:space="preserve">Sử dụng limit mặc định là 10</t>
  </si>
  <si>
    <t xml:space="preserve">Tránh crash DB</t>
  </si>
  <si>
    <t>FB_UT_20</t>
  </si>
  <si>
    <t xml:space="preserve">Page âm</t>
  </si>
  <si>
    <t xml:space="preserve">page = -2</t>
  </si>
  <si>
    <t xml:space="preserve">Sử dụng page mặc định là 1</t>
  </si>
  <si>
    <t>FB_UT_21</t>
  </si>
  <si>
    <t>markCancelled</t>
  </si>
  <si>
    <t xml:space="preserve">Feedback ID không tồn tại</t>
  </si>
  <si>
    <t xml:space="preserve">Xử lý lỗi 404</t>
  </si>
  <si>
    <t xml:space="preserve">id = 999999</t>
  </si>
  <si>
    <t xml:space="preserve">Ném lỗi "Feedback không tồn tại"</t>
  </si>
  <si>
    <t xml:space="preserve">Không tìm thấy record</t>
  </si>
  <si>
    <t>FB_UT_22</t>
  </si>
  <si>
    <t xml:space="preserve">Feedback đã ở trạng thái cancelled</t>
  </si>
  <si>
    <t xml:space="preserve">Tránh lặp thao tác</t>
  </si>
  <si>
    <t xml:space="preserve">Feedback đã cancelled</t>
  </si>
  <si>
    <t xml:space="preserve">Ném lỗi "Feedback đã được hủy trước đó"</t>
  </si>
  <si>
    <t xml:space="preserve">Tránh ghi đè</t>
  </si>
  <si>
    <t>FB_UT_23</t>
  </si>
  <si>
    <t xml:space="preserve">Feedback ở trạng thái pending</t>
  </si>
  <si>
    <t xml:space="preserve">Chuyển trạng thái</t>
  </si>
  <si>
    <t xml:space="preserve">Feedback pending</t>
  </si>
  <si>
    <t xml:space="preserve">Update DB status thành "cancelled", trả về record</t>
  </si>
  <si>
    <t xml:space="preserve">Cập nhật thành công</t>
  </si>
  <si>
    <t>FB_UT_24</t>
  </si>
  <si>
    <t xml:space="preserve">Mất kết nối DB khi cập nhật</t>
  </si>
  <si>
    <t xml:space="preserve">Tính toàn vẹn dữ liệu</t>
  </si>
  <si>
    <t xml:space="preserve">Ngắt kết nối DB giả lập</t>
  </si>
  <si>
    <t xml:space="preserve">Ném lỗi kết nối DB, thực hiện rollback</t>
  </si>
  <si>
    <t xml:space="preserve">An toàn dữ liệu</t>
  </si>
  <si>
    <t>FB_UT_25</t>
  </si>
  <si>
    <t>saveFeedback</t>
  </si>
  <si>
    <t xml:space="preserve">Lưu ký tự có dấu tiếng Việt</t>
  </si>
  <si>
    <t xml:space="preserve">Định dạng UTF-8</t>
  </si>
  <si>
    <t xml:space="preserve">title = "Tiêu đề tiếng Việt"</t>
  </si>
  <si>
    <t xml:space="preserve">Lưu DB đúng 100% tiếng Việt có dấu</t>
  </si>
  <si>
    <t xml:space="preserve">UTF-8 hoàn chỉnh</t>
  </si>
  <si>
    <t>FB_UT_26</t>
  </si>
  <si>
    <t>escapeSql</t>
  </si>
  <si>
    <t xml:space="preserve">Chống lỗi SQL Injection</t>
  </si>
  <si>
    <t xml:space="preserve">Bảo mật DB</t>
  </si>
  <si>
    <t xml:space="preserve">title = "abc' OR '1'='1"</t>
  </si>
  <si>
    <t xml:space="preserve">Sequelize escape thành công, lưu chuỗi abc' OR '1'='1</t>
  </si>
  <si>
    <t xml:space="preserve">Escape chuỗi an toàn</t>
  </si>
  <si>
    <t>FB_UT_27</t>
  </si>
  <si>
    <t xml:space="preserve">Không gửi token</t>
  </si>
  <si>
    <t xml:space="preserve">Gọi API không có Auth headers</t>
  </si>
  <si>
    <t xml:space="preserve">Chặn vãng lai</t>
  </si>
  <si>
    <t>FB_UT_28</t>
  </si>
  <si>
    <t xml:space="preserve">Gọi bằng tài khoản user thường</t>
  </si>
  <si>
    <t xml:space="preserve">Auth token user thường</t>
  </si>
  <si>
    <t xml:space="preserve">HTTP 403, "Chỉ admin mới có quyền thực hiện thao tác này"</t>
  </si>
  <si>
    <t xml:space="preserve">Phân quyền chặt chẽ</t>
  </si>
  <si>
    <t>FB_UT_29</t>
  </si>
  <si>
    <t xml:space="preserve">ID feedback là NaN</t>
  </si>
  <si>
    <t xml:space="preserve">id = "abc"</t>
  </si>
  <si>
    <t xml:space="preserve">HTTP 400, "ID feedback không hợp lệ"</t>
  </si>
  <si>
    <t xml:space="preserve">Chặn ID rác</t>
  </si>
  <si>
    <t>FB_UT_30</t>
  </si>
  <si>
    <t xml:space="preserve">ID feedback là số âm</t>
  </si>
  <si>
    <t xml:space="preserve">id = -5</t>
  </si>
  <si>
    <t>FB_UT_31</t>
  </si>
  <si>
    <t xml:space="preserve">ID feedback hợp lệ</t>
  </si>
  <si>
    <t xml:space="preserve">id = 1</t>
  </si>
  <si>
    <t xml:space="preserve">HTTP 200, "Đổi trạng thái feedback thành công"</t>
  </si>
  <si>
    <t>FB_UT_32</t>
  </si>
  <si>
    <t>AuthMiddleware</t>
  </si>
  <si>
    <t>checkToken</t>
  </si>
  <si>
    <t xml:space="preserve">Token hết hạn</t>
  </si>
  <si>
    <t xml:space="preserve">Xác thực</t>
  </si>
  <si>
    <t xml:space="preserve">Token expired</t>
  </si>
  <si>
    <t xml:space="preserve">HTTP 401, "Token expired"</t>
  </si>
  <si>
    <t xml:space="preserve">Chặn token hết hạn</t>
  </si>
  <si>
    <t>FB_UT_33</t>
  </si>
  <si>
    <t xml:space="preserve">Token sai chữ ký</t>
  </si>
  <si>
    <t xml:space="preserve">Token invalid signature</t>
  </si>
  <si>
    <t xml:space="preserve">HTTP 401, "Token không hợp lệ"</t>
  </si>
  <si>
    <t xml:space="preserve">Chặn token giả</t>
  </si>
  <si>
    <t>FB_UT_34</t>
  </si>
  <si>
    <t xml:space="preserve">Token hợp lệ</t>
  </si>
  <si>
    <t xml:space="preserve">Token valid</t>
  </si>
  <si>
    <t xml:space="preserve">Gán user vào req.user và tiếp tục</t>
  </si>
  <si>
    <t xml:space="preserve">Cho qua middleware</t>
  </si>
  <si>
    <t>FB_UT_35</t>
  </si>
  <si>
    <t>FeedbackModel</t>
  </si>
  <si>
    <t>validation</t>
  </si>
  <si>
    <t xml:space="preserve">Title và message đều null</t>
  </si>
  <si>
    <t xml:space="preserve">Ràng buộc DB</t>
  </si>
  <si>
    <t xml:space="preserve">title=null, message=null</t>
  </si>
  <si>
    <t xml:space="preserve">Sequelize ném lỗi validation</t>
  </si>
  <si>
    <t xml:space="preserve">Chặn rỗng mức Model</t>
  </si>
  <si>
    <t>FB_UT_36</t>
  </si>
  <si>
    <t xml:space="preserve">User_id null</t>
  </si>
  <si>
    <t>user_id=null</t>
  </si>
  <si>
    <t>FB_UT_37</t>
  </si>
  <si>
    <t>association</t>
  </si>
  <si>
    <t xml:space="preserve">Khóa ngoại liên kết User</t>
  </si>
  <si>
    <t xml:space="preserve">Liên kết bảng</t>
  </si>
  <si>
    <t xml:space="preserve">Query feedback include User</t>
  </si>
  <si>
    <t xml:space="preserve">Trả về feedback kèm thông tin User tương ứng</t>
  </si>
  <si>
    <t xml:space="preserve">Đúng association</t>
  </si>
  <si>
    <t>FB_UT_38</t>
  </si>
  <si>
    <t>ResponseHandler</t>
  </si>
  <si>
    <t>sendSuccess</t>
  </si>
  <si>
    <t xml:space="preserve">Chuẩn hóa output success</t>
  </si>
  <si>
    <t xml:space="preserve">Chuẩn hóa API</t>
  </si>
  <si>
    <t xml:space="preserve">data = feedback</t>
  </si>
  <si>
    <t xml:space="preserve">Trả về format { success: true, message, data, pagination }</t>
  </si>
  <si>
    <t xml:space="preserve">Output thống nhất</t>
  </si>
  <si>
    <t>FB_UT_39</t>
  </si>
  <si>
    <t>sendError</t>
  </si>
  <si>
    <t xml:space="preserve">Chuẩn hóa output error</t>
  </si>
  <si>
    <t xml:space="preserve">message = "Lỗi"</t>
  </si>
  <si>
    <t xml:space="preserve">Trả về format { success: false, message }</t>
  </si>
  <si>
    <t>RT_UT_01</t>
  </si>
  <si>
    <t>ReviewModel</t>
  </si>
  <si>
    <t xml:space="preserve">Rating null</t>
  </si>
  <si>
    <t>rating=null</t>
  </si>
  <si>
    <t xml:space="preserve">Chặn rỗng rating mức Model</t>
  </si>
  <si>
    <t>RT_UT_02</t>
  </si>
  <si>
    <t xml:space="preserve">Rating lớn hơn 5</t>
  </si>
  <si>
    <t>rating=6</t>
  </si>
  <si>
    <t xml:space="preserve">Chặn rating vượt quá 5</t>
  </si>
  <si>
    <t>RT_UT_03</t>
  </si>
  <si>
    <t xml:space="preserve">Rating nhỏ hơn 1</t>
  </si>
  <si>
    <t>rating=0</t>
  </si>
  <si>
    <t xml:space="preserve">Chặn rating nhỏ hơn 1</t>
  </si>
  <si>
    <t>RT_UT_04</t>
  </si>
  <si>
    <t xml:space="preserve">Comment null</t>
  </si>
  <si>
    <t>comment=null</t>
  </si>
  <si>
    <t xml:space="preserve">Chặn rỗng comment mức Model</t>
  </si>
  <si>
    <t>RT_UT_05</t>
  </si>
  <si>
    <t>ReviewService</t>
  </si>
  <si>
    <t>createReview</t>
  </si>
  <si>
    <t xml:space="preserve">Đăng ký đánh giá thành công</t>
  </si>
  <si>
    <t xml:space="preserve">Nghiệp vụ</t>
  </si>
  <si>
    <t xml:space="preserve">user_id=2, tour_id=2, rating=5, comment="..."</t>
  </si>
  <si>
    <t xml:space="preserve">Tạo review trong DB, cập nhật is_review=1 trong orders</t>
  </si>
  <si>
    <t xml:space="preserve">Lưu DB và update order</t>
  </si>
  <si>
    <t>RT_UT_06</t>
  </si>
  <si>
    <t xml:space="preserve">Chặn đánh giá khi chưa hoàn thành tour</t>
  </si>
  <si>
    <t xml:space="preserve">user_id=2, tour_id=3 (chưa đi/chưa xong)</t>
  </si>
  <si>
    <t xml:space="preserve">Ném lỗi "Chưa hoàn thành tour"</t>
  </si>
  <si>
    <t xml:space="preserve">Chặn nghiệp vụ</t>
  </si>
  <si>
    <t>RT_UT_07</t>
  </si>
  <si>
    <t xml:space="preserve">Chặn đánh giá lại lần hai</t>
  </si>
  <si>
    <t xml:space="preserve">user_id=2, tour_id=2 (đã đánh giá)</t>
  </si>
  <si>
    <t xml:space="preserve">Ném lỗi "Đã đánh giá tour này"</t>
  </si>
  <si>
    <t xml:space="preserve">Chặn đánh giá trùng</t>
  </si>
  <si>
    <t>RT_UT_08</t>
  </si>
  <si>
    <t>getTourReviews</t>
  </si>
  <si>
    <t xml:space="preserve">Lấy danh sách đánh giá của tour</t>
  </si>
  <si>
    <t>tour_id=2</t>
  </si>
  <si>
    <t xml:space="preserve">Trả về danh sách các review kèm thông tin User</t>
  </si>
  <si>
    <t>RT_UT_09</t>
  </si>
  <si>
    <t>ReviewController</t>
  </si>
  <si>
    <t xml:space="preserve">Chuẩn hóa output khi tạo thành công</t>
  </si>
  <si>
    <t xml:space="preserve">data = review</t>
  </si>
  <si>
    <t xml:space="preserve">Trả về { success: true, message: "Đánh giá thành công", data }</t>
  </si>
  <si>
    <t>RT_UT_10</t>
  </si>
  <si>
    <t xml:space="preserve">Chuẩn hóa output khi lấy danh sách</t>
  </si>
  <si>
    <t xml:space="preserve">data = reviews</t>
  </si>
  <si>
    <t xml:space="preserve">Trả về { success: true, data }</t>
  </si>
  <si>
    <t xml:space="preserve">ĐÁNH GIÁ KẾT QUẢ KIỂM THỬ</t>
  </si>
  <si>
    <t xml:space="preserve">Mã dự án</t>
  </si>
  <si>
    <t>HTBTDL</t>
  </si>
  <si>
    <t xml:space="preserve">Phiên bản sản phẩm</t>
  </si>
  <si>
    <t>v1.0</t>
  </si>
  <si>
    <t xml:space="preserve">Phân hệ/Module</t>
  </si>
  <si>
    <t xml:space="preserve">Đánh giá tour và Feedback</t>
  </si>
  <si>
    <t xml:space="preserve">Người kiểm thử</t>
  </si>
  <si>
    <t xml:space="preserve">Ngày kiểm thử</t>
  </si>
  <si>
    <t xml:space="preserve">Số lượng testcase</t>
  </si>
  <si>
    <t xml:space="preserve">Thiết bị test</t>
  </si>
  <si>
    <t>PC</t>
  </si>
  <si>
    <t xml:space="preserve">1. Tổng hợp kết quả kiểm thử</t>
  </si>
  <si>
    <t xml:space="preserve">Tổng số Test case</t>
  </si>
  <si>
    <t xml:space="preserve">Đạt (Pass)</t>
  </si>
  <si>
    <t xml:space="preserve">Không đạt (Fail)</t>
  </si>
  <si>
    <t xml:space="preserve">Không thực hiện (Not run)</t>
  </si>
  <si>
    <t xml:space="preserve">Tỷ lệ Pass: 98.5%</t>
  </si>
  <si>
    <t xml:space="preserve">Tỷ lệ Fail: 0%</t>
  </si>
  <si>
    <t xml:space="preserve">2. Tóm tắt các lỗi/phát hiện chính:</t>
  </si>
  <si>
    <t xml:space="preserve">- Không có lỗi (Fail) nào được ghi nhận trong lần chạy này.
- Phát hiện tích cực: Hệ thống kiểm soát lỗi đầu vào rất tốt (validate đầy đủ cả Title và Message). Trải nghiệm người dùng mượt mà, form được tự động reset sau khi gửi phản hồi thành công.
- Trường hợp N/A (FB_33): Kịch bản gửi feedback đính kèm E10hình ảnh minh họa chưa thể thực hiện vì tính năng này hiện tại chưa được phát triển trong đặc tả của hệ thống.
- Bổ sung kết quả Đánh Phạm Văn Đức_Automatic tes!giá tour: 8/8 test case tự động và tích hợp đều đạt 100% Pass. Logic đánh giá, tính điểm trung bình và cập nhật giao diện hoạt động chính xác, đồng bộ.</t>
  </si>
  <si>
    <t xml:space="preserve">Ưu điểm:</t>
  </si>
  <si>
    <t xml:space="preserve">- Chất lượng bản build ổn định, tỷ lệ Pass đạt mức xuất sắc (98.5%).
- Phân quyền API rất chặt chẽ, ngăn chặn triệt để tình trạng người dùng vãng lai hoặc admin spam gửi feedback và đánh giá tour lung tung.
- Logic xử lý trạng thái is_review của đơn hàng hoạt động chuẩn xác.
- Logic xử lý trạng thái feedback chuyển đổi từ pending sang cancelled hoạt động chuẩn xác trên cơ sở dữ liệu.</t>
  </si>
  <si>
    <t xml:space="preserve">Hạn chế:
- Tính năng đính kèm tệp/hình ảnh cho phản hồi chưa được hỗ trợ, làm giảm tính trực quan khi người dùng báo cáo lỗi giao diện.</t>
  </si>
  <si>
    <t xml:space="preserve">Đề xuất:</t>
  </si>
  <si>
    <t xml:space="preserve">- Đề xuất BA và Dev bổ sung thêm tính năng cho phép đính kèm hình ảnh (tối đa 3 ảnh, dung lượng dưới 5MB) để người dùng dễ mô tả lỗi.
- Thiết lập cơ chế gửi email thông báo tự động cho admin khi có feedback mới ở trạng thái pending.
- Đóng gói module.</t>
  </si>
  <si>
    <t xml:space="preserve">Kết luận:</t>
  </si>
  <si>
    <t xml:space="preserve">Module "Đánh giá tour và Feedback" đã đạt trạng thái hoạt động cực kỳ ổn định. Giao diện trực quan, tính năng tìm kiếm và phân trang chuẩn xác và phân quyền chặt chẽ. Ngoại trừ 1 case bị N/A do yêu cầu tính năng môi trường khách quan, sản phẩm hoàn toàn đủ điều kiện chất lượng để đưa vào vận hành.</t>
  </si>
  <si>
    <t xml:space="preserve">Người lập báo cáo: Phạm Văn Đức
 Ngày: 13/06/2026</t>
  </si>
  <si>
    <t xml:space="preserve">Code Review Checklist</t>
  </si>
  <si>
    <t xml:space="preserve">Mã dự án:</t>
  </si>
  <si>
    <t xml:space="preserve">Thành phần được xem xét:</t>
  </si>
  <si>
    <t xml:space="preserve">Backend Node.js/Express/TS + Frontend React/Vite (toàn hệ thống)</t>
  </si>
  <si>
    <t xml:space="preserve">Phiên bản:</t>
  </si>
  <si>
    <t xml:space="preserve">Lần xem xét:</t>
  </si>
  <si>
    <t xml:space="preserve">Người xem xét:</t>
  </si>
  <si>
    <t xml:space="preserve">Ngày xem xét:</t>
  </si>
  <si>
    <t>14/06/2026</t>
  </si>
  <si>
    <t xml:space="preserve">Độ lớn sản phẩm được xem xét:</t>
  </si>
  <si>
    <t xml:space="preserve">Ước lượng ~18.000–22.000 dòng (BE TypeScript + FE React/TS)</t>
  </si>
  <si>
    <t xml:space="preserve">Nhân công dành cho xem xét (MH):</t>
  </si>
  <si>
    <t xml:space="preserve">Câu hỏi</t>
  </si>
  <si>
    <t>Có</t>
  </si>
  <si>
    <t>Không</t>
  </si>
  <si>
    <t xml:space="preserve">Tổng quan</t>
  </si>
  <si>
    <t xml:space="preserve">Code có được viết tốt không (về mặt hình thức) ? Đọc có dễ hiểu không?</t>
  </si>
  <si>
    <t>x</t>
  </si>
  <si>
    <t xml:space="preserve">Các ghi chú và chuẩn lập trình</t>
  </si>
  <si>
    <t xml:space="preserve">Code có thực hiện theo đúng chuẩn lập trình không?</t>
  </si>
  <si>
    <t xml:space="preserve">Tên biến</t>
  </si>
  <si>
    <t xml:space="preserve">Căn lề</t>
  </si>
  <si>
    <t xml:space="preserve">Kiểu dấu ngoặc</t>
  </si>
  <si>
    <t xml:space="preserve">Các file source có đầy đủ tiêu đề đầu trang và thông tin bản quyền không?</t>
  </si>
  <si>
    <t xml:space="preserve">README.md đầy đủ; nhiều file .ts chưa có header copyright — chấp nhận đồ án</t>
  </si>
  <si>
    <t xml:space="preserve">Các khai báo biến có được ghi chú đúng cách không?</t>
  </si>
  <si>
    <t xml:space="preserve">Các thành phần dữ liệu dạng số có được khai báo rõ ràng không?</t>
  </si>
  <si>
    <t xml:space="preserve">Toàn bộ các functions, methods và classes có được ghi chú lại không</t>
  </si>
  <si>
    <t xml:space="preserve">JSDoc/README có; không phải mọi hàm đều có comment chi tiết</t>
  </si>
  <si>
    <t xml:space="preserve">Các đoạn thuật toán phức tap và các đoạn tối ưu code có được ghi chú đầy đủ không?</t>
  </si>
  <si>
    <t xml:space="preserve">Các đoạn code được đánh dấu hủy bỏ có được giải thích không?</t>
  </si>
  <si>
    <t xml:space="preserve">Không có khối code comment-out đáng kể trong bản hiện tại</t>
  </si>
  <si>
    <t xml:space="preserve">Các ghi chú có được cập nhật kịp thời không?</t>
  </si>
  <si>
    <t xml:space="preserve">Các ghi chú có rõ ràng và đúng không?</t>
  </si>
  <si>
    <t xml:space="preserve">Các ghi chú có tập trung vào giải thích tại sao chứ không phải như thế nào không?</t>
  </si>
  <si>
    <t xml:space="preserve">Tên của mỗi thủ tục/hàm/class có nói lên thủ tục/hàm/class đó làm gì hay không?</t>
  </si>
  <si>
    <t xml:space="preserve">Xử lý lỗi</t>
  </si>
  <si>
    <t xml:space="preserve">Có xử lý lỗi mỗi khi function return không?</t>
  </si>
  <si>
    <t xml:space="preserve">Các trường hợp ngoại lệ có được xử lý không?</t>
  </si>
  <si>
    <t xml:space="preserve">Các hàm gọi đến có được thông báo khi có lỗi không?</t>
  </si>
  <si>
    <t xml:space="preserve">Quản lý tài nguyên</t>
  </si>
  <si>
    <t xml:space="preserve">Các bộ nhớ được cấp phát có được giải phóng không?</t>
  </si>
  <si>
    <t xml:space="preserve">Toàn bộ các đối tượng (Database connections, Sockets, Files, etc.) có được giải phóng ngay cả trong trường hợp có lỗi không?</t>
  </si>
  <si>
    <t xml:space="preserve">Có đối tượng nào được giải phóng &gt; 1 lần không?</t>
  </si>
  <si>
    <t xml:space="preserve">N/A — không phát hiện double-free</t>
  </si>
  <si>
    <t xml:space="preserve">Thread Safeness</t>
  </si>
  <si>
    <t xml:space="preserve">N/A — Node.js single-thread event loop</t>
  </si>
  <si>
    <t xml:space="preserve">Việc thay đổi giá trị của các biến dùng trong nhiều thread có được đồng bộ không?</t>
  </si>
  <si>
    <t xml:space="preserve">Các đối tượng dùng trong nhiều thread có được đồng bộ không?</t>
  </si>
  <si>
    <t xml:space="preserve">Có giải phóng các lock theo đúng thứ tự không?</t>
  </si>
  <si>
    <t xml:space="preserve">Có khả năng xảy ra deadlock hoặc tranh chấp lock không?</t>
  </si>
  <si>
    <t xml:space="preserve">Các cấu trúc điều khiển</t>
  </si>
  <si>
    <t xml:space="preserve">Các điều kiện kết thúc vòng lặp có chính xác không?</t>
  </si>
  <si>
    <t xml:space="preserve">Code có bị lặp vô hạn không định trước không?</t>
  </si>
  <si>
    <t xml:space="preserve">Không phát hiện vòng lặp vô hạn trong codebase.</t>
  </si>
  <si>
    <t xml:space="preserve">Các vòng lặp lồng nhau có được giảm đến mức ít nhất?</t>
  </si>
  <si>
    <t>Performance</t>
  </si>
  <si>
    <t xml:space="preserve">Có xảy ra trường hợp trùng lặp cả một object trong khi có thể tham chiếu đến nó không?</t>
  </si>
  <si>
    <t xml:space="preserve">Không phát hiện duplicate object không cần thiết</t>
  </si>
  <si>
    <t xml:space="preserve">Code có ảnh hưởng đến kích thước, tốc độ hoặc bộ nhớ sử dụng không?</t>
  </si>
  <si>
    <t xml:space="preserve">Code đã được viết tối ưu chưa?</t>
  </si>
  <si>
    <t xml:space="preserve">Các hàm</t>
  </si>
  <si>
    <t xml:space="preserve">Các biến của hàm có được xác minh rõ ràng trong code không?</t>
  </si>
  <si>
    <t xml:space="preserve">Các mảng có được kiểm tra trường hợp ngoài khoảng không?</t>
  </si>
  <si>
    <t xml:space="preserve">Các biến có được khai báo trước khi sử dụng không?</t>
  </si>
  <si>
    <t xml:space="preserve">Thủ tục/hàm/class có dài quá không? có thể làm đơn giản bằng cách tách ra thành những thủ tục/hàm/class nhỏ hơn không?</t>
  </si>
  <si>
    <t xml:space="preserve">* Nhận xét</t>
  </si>
  <si>
    <t xml:space="preserve">Mã nguồn tuân thủ kiến trúc phân tầng Route → Controller → Service → Model (Sequelize). TypeScript trên BE, React trên FE; JWT, bcrypt, Helmet, express-validator, xử lý lỗi tập trung. Tên hàm/biến rõ nghĩa; README mô tả API. Một số file thiếu header bản quyền; chú thích JSDoc chưa đầy đủ trên toàn bộ public method; một số controller dài (tour/booking) nên tách nhỏ dần. Không phát hiện memory leak nghiêm trọng (Node.js). Mã nguồn đã được chạy ESLint/Prettier đồng bộ FE-BE.</t>
  </si>
  <si>
    <t xml:space="preserve">* Đề xuất</t>
  </si>
  <si>
    <t xml:space="preserve">Tiếp tục duy trì chuẩn lập trình và chú thích code như hiện tại.
Bổ sung chú thích cho tất cả các hàm public để hỗ trợ tài liệu hóa tự động.
Kiểm tra định kỳ các hàm dài để tối ưu hóa và tách nhỏ hơn nữa nếu cần.
Đảm bảo cập nhật chú thích khi có thay đổi logic hoặc thuật toán.</t>
  </si>
  <si>
    <t xml:space="preserve">[ x ] - Đạt</t>
  </si>
  <si>
    <t xml:space="preserve">[ ] - Xem xét lại</t>
  </si>
  <si>
    <t xml:space="preserve">[ ] - Khác</t>
  </si>
  <si>
    <t xml:space="preserve">Các tiêu chí trong checklist đều được đáp ứng tốt. Code rõ ràng, chuẩn hóa, dễ đọc, dễ bảo trì, không phát hiện lỗi nghiêm trọng về logic, xử lý lỗi, quản lý tài nguyên hay hiệu năng. Các đề xuất chỉ mang tính cải tiến liên tục, không ảnh hưởng đến chất lượng tổng thể hiện tại.</t>
  </si>
  <si>
    <t xml:space="preserve">SRS Review Checklist</t>
  </si>
  <si>
    <t xml:space="preserve">Phân hệ / Module</t>
  </si>
  <si>
    <t xml:space="preserve">Lần xem xét</t>
  </si>
  <si>
    <t xml:space="preserve">Người xem xét</t>
  </si>
  <si>
    <t xml:space="preserve">Ngày xem xét</t>
  </si>
  <si>
    <t xml:space="preserve">Độ lớn sản phẩm</t>
  </si>
  <si>
    <t xml:space="preserve">2 use cases (Đánh giá tour và Gửi phản hồi)</t>
  </si>
  <si>
    <t xml:space="preserve">Nguồn lực dành cho xem xét (MH)</t>
  </si>
  <si>
    <t xml:space="preserve">Điều kiện</t>
  </si>
  <si>
    <t xml:space="preserve">Kiểm soát tài liệu</t>
  </si>
  <si>
    <t xml:space="preserve">Tài liệu có tuân thủ theo yêu cầu kiểm soát tài liệu không:</t>
  </si>
  <si>
    <t xml:space="preserve">Bắt buộc</t>
  </si>
  <si>
    <t xml:space="preserve">Mẫu tài liệu có phải là mẫu mới nhất không?</t>
  </si>
  <si>
    <t xml:space="preserve">Trang tiêu đề có bao gồm đủ tên tài liệu, phiên bản, tên công ty và logo, mã dự án, mã hiệu tài liệu và thời gian ban hành không?</t>
  </si>
  <si>
    <t xml:space="preserve">Hiện chưa có tên công ty và logo</t>
  </si>
  <si>
    <t xml:space="preserve">Đầu và cuối trang có bao gồm tên, phiên bản của tài liệu, Mã hiệu của template không?</t>
  </si>
  <si>
    <t xml:space="preserve">Đánh số trang có theo đúng qui định: số thứ tự/tổng số trang?</t>
  </si>
  <si>
    <t xml:space="preserve">Trang ký có bao gồm đủ Người xem xét &amp; Người phê duyệt không?</t>
  </si>
  <si>
    <t xml:space="preserve">Có bảng theo dõi lịch sử thay đổi không?</t>
  </si>
  <si>
    <t xml:space="preserve">Đối với trường hợp phiên bản tài liệu &gt; v1.0:</t>
  </si>
  <si>
    <t xml:space="preserve">Hiện đang là tài liệu v1.0, chưa có thay đổi</t>
  </si>
  <si>
    <t xml:space="preserve">Các nội dung ghi nhận trong Bảng ghi nhận thay đổi này có đầy đủ và đúng không?</t>
  </si>
  <si>
    <t xml:space="preserve">Giới thiệu chung</t>
  </si>
  <si>
    <t xml:space="preserve">Có nêu rõ mục đích của tài liệu không?</t>
  </si>
  <si>
    <t xml:space="preserve">Phạm vi hệ thống có được mô tả rõ ràng không?</t>
  </si>
  <si>
    <t xml:space="preserve">Các khái niệm và thuật ngữ có được định nghĩa đầy đủ không?</t>
  </si>
  <si>
    <t xml:space="preserve">Có liệt kê các tài liệu tham khảo không?</t>
  </si>
  <si>
    <t xml:space="preserve">Nếu có, mỗi tài liệu có bao gồm các thông tin sau không?</t>
  </si>
  <si>
    <t xml:space="preserve">Tên tài liệu</t>
  </si>
  <si>
    <t xml:space="preserve">Ngày phát hành</t>
  </si>
  <si>
    <t>Nguồn</t>
  </si>
  <si>
    <t xml:space="preserve">Có mô tả giới hạn của tài liệu không?</t>
  </si>
  <si>
    <t xml:space="preserve">Có mô tả tổ chức của tài liệu không?</t>
  </si>
  <si>
    <t xml:space="preserve">Mô tả tổng thể</t>
  </si>
  <si>
    <t xml:space="preserve">Có xác định ngữ cảnh và điều kiện sử dụng của hệ thống (scenarios and operational concepts) không?</t>
  </si>
  <si>
    <t xml:space="preserve">Có liệt kê các chức năng sản phẩm trong tài liệu không?</t>
  </si>
  <si>
    <t xml:space="preserve">Các chức năng sản phẩm được liệt kê này:</t>
  </si>
  <si>
    <t xml:space="preserve">Có được phân nhóm một cách hợp lý?</t>
  </si>
  <si>
    <t xml:space="preserve">Có được mô tả một cách chính xác không?</t>
  </si>
  <si>
    <t xml:space="preserve">Danh sách Nhóm người / Người sử dụng có được đề cập theo các yêu cầu / chức năng này này không?</t>
  </si>
  <si>
    <t xml:space="preserve">Vai trò của Nhóm người / Người sử dụng có được ghi nhận không?</t>
  </si>
  <si>
    <t xml:space="preserve">Có mô hình / Sơ đồ Tổng thể hệ thống không?</t>
  </si>
  <si>
    <t xml:space="preserve">Có mô tả đặc điểm người sử dụng không?</t>
  </si>
  <si>
    <t xml:space="preserve">Có mô tả các ràng buộc đối với hệ thống không?</t>
  </si>
  <si>
    <t xml:space="preserve">Có các giả thiết và phụ thuộc không?</t>
  </si>
  <si>
    <t xml:space="preserve">Được thể hiện ở "Phạm vi"</t>
  </si>
  <si>
    <t xml:space="preserve">Đặc tả yêu cầu chức năng sản phẩm - Tổng quát</t>
  </si>
  <si>
    <t xml:space="preserve">Mỗi yêu cầu có được xác định duy nhất và chính xác không?</t>
  </si>
  <si>
    <t xml:space="preserve">Các yêu cầu có thống nhất không?</t>
  </si>
  <si>
    <t xml:space="preserve">Có thứ tự ưu tiên / độ ưu tiên thực hiện cho các yêu cầu không?</t>
  </si>
  <si>
    <t xml:space="preserve">Hiện chưa có thứ tự ưu tiên cho các yêu cầu</t>
  </si>
  <si>
    <t xml:space="preserve">Có ghi nhận mã hiệu và tên gọi cho tất cả các yêu cầu không?</t>
  </si>
  <si>
    <t xml:space="preserve">Các dẫn chiếu đến các yêu cầu khác trong tài liệu có đúng không?</t>
  </si>
  <si>
    <t xml:space="preserve">Nếu tài liệu SRS được sử dụng để nghiệm thu hệ thống: Có mô tả tiêu chí nghiệm thu của các chức năng sản phẩm trong tài liệu không?</t>
  </si>
  <si>
    <t xml:space="preserve">Tài liệu chưa có mục tiêu chí nghiệm thu cho từng chức năng</t>
  </si>
  <si>
    <t xml:space="preserve">Các yêu cầu có đầy đủ thông tin cần thiết không?</t>
  </si>
  <si>
    <t xml:space="preserve">Nếu có yêu cầu nào thiếu có được đánh dấu lại không?</t>
  </si>
  <si>
    <t xml:space="preserve">Hiện chưa có đánh dấu riêng cho các yêu cầu thiếu thông tin</t>
  </si>
  <si>
    <t xml:space="preserve">Các yêu cầu khác về chất lượng có được mô tả rõ ràng và được số hoá, với những điều chỉnh có thể chấp nhận được không?</t>
  </si>
  <si>
    <t xml:space="preserve">Các yêu cầu có nằm trong phạm vi dự án không?</t>
  </si>
  <si>
    <t xml:space="preserve">Các yêu cầu có thực sự là yêu cầu mà không phải là đề xuất thiết kế hoặc giải pháp thực hiện không?</t>
  </si>
  <si>
    <t xml:space="preserve">Hành động cần làm trong những trường hợp có lỗi (nếu có) có được mô tả không?</t>
  </si>
  <si>
    <t xml:space="preserve">Đặc tả yêu cầu chức năng sản phẩm - Chi tiết</t>
  </si>
  <si>
    <t xml:space="preserve">Các yêu cầu có cung cấp đủ cơ sở cho thiết kế không?</t>
  </si>
  <si>
    <t xml:space="preserve">Có thể thực hiện được tất cả các yêu cầu với các ràng buộc đã ghi nhận không?</t>
  </si>
  <si>
    <t xml:space="preserve">Có xác định các thuật toán của use case không?</t>
  </si>
  <si>
    <t xml:space="preserve">Chưa có mô tả chi tiết thuật toán cho usecase</t>
  </si>
  <si>
    <t xml:space="preserve">Mỗi yêu cầu đều có thể kiểm tra được bằng 1 trong các biện pháp sau: test, demonstration, review hoặc phân tích không?</t>
  </si>
  <si>
    <t xml:space="preserve">Các thông báo lỗi cần thiết đều duy nhất và rõ nghĩa?</t>
  </si>
  <si>
    <t xml:space="preserve">Mỗi yêu cầu chức năng phần mềm có tương ứng với 1 yêu cầu ở mức cao hơn không? (ví dụ: mức cao hơn có thể là yêu cầu của hệ thống hoặc use case không?)</t>
  </si>
  <si>
    <t xml:space="preserve">Các yêu cầu phi chức năng, các yêu cầu đặc biệt của người dùng</t>
  </si>
  <si>
    <t xml:space="preserve">Các yêu cầu về bảo mật và an toàn có được xác định không?</t>
  </si>
  <si>
    <t xml:space="preserve">Loại bảo mật nào được yêu cầu?</t>
  </si>
  <si>
    <t xml:space="preserve">Có xác định các yêu cầu về sao lưu dữ liệu không?</t>
  </si>
  <si>
    <t xml:space="preserve">Tài liệu hiện chưa đề cập đến yêu cầu sao lưu dữ liệu</t>
  </si>
  <si>
    <t xml:space="preserve">Có xác định các yêu cầu về tính sử dụng (usability) của hệ thống không?</t>
  </si>
  <si>
    <t xml:space="preserve">Có xác định các yêu cầu về tính ổn định (stability) của hệ thống không?</t>
  </si>
  <si>
    <t xml:space="preserve">Các yêu cầu về performance (hiệu năng) có được xác định không?</t>
  </si>
  <si>
    <t xml:space="preserve">Lưu lượng giao dịch và qui mô của dữ liệu có được chỉ rõ trong tài liệu không?</t>
  </si>
  <si>
    <t xml:space="preserve">Có xác định các yêu cầu về tính hỗ trợ của hệ thống không?</t>
  </si>
  <si>
    <t xml:space="preserve">Có mô tả các yêu cầu về công nghệ và các ràng buộc đối với thiết kế không?</t>
  </si>
  <si>
    <t xml:space="preserve">Có xác định các yêu cầu giao tiếp của hệ thống không?</t>
  </si>
  <si>
    <t xml:space="preserve">Giao tiếp người dùng (GUI)?</t>
  </si>
  <si>
    <t xml:space="preserve">Giao tiếp phần cứng?</t>
  </si>
  <si>
    <t xml:space="preserve">Giao tiếp phần mềm bao gồm:</t>
  </si>
  <si>
    <t xml:space="preserve">Giao tiếp với các hệ thống phần mềm khác?</t>
  </si>
  <si>
    <t xml:space="preserve">Giao tiếp giữa các modul trong nội tại hệ thống?</t>
  </si>
  <si>
    <t xml:space="preserve">Giao tiếp truyền thông?</t>
  </si>
  <si>
    <t xml:space="preserve">Có xác định các yêu cầu về tài liệu người dùng và hỗ trợ trực tuyến không?</t>
  </si>
  <si>
    <t xml:space="preserve">Hệ thống có sử dụng các thành phần mua ngoài không?</t>
  </si>
  <si>
    <t xml:space="preserve">Hiện chưa đề cập đến trong tài liệu</t>
  </si>
  <si>
    <t xml:space="preserve">Nếu có, có được mô tả đầy đủ trong tài liệu không?</t>
  </si>
  <si>
    <t xml:space="preserve">Các yêu cầu pháp lý, bản quyền không?</t>
  </si>
  <si>
    <t xml:space="preserve">Hệ thống có áp dụng các tiêu chuẩn nào khác ngoài các tiêu chuẩn thuộc phạm vi dự án không?</t>
  </si>
  <si>
    <t xml:space="preserve">&lt;Có thể thêm vào checklist các quan tâm khác nếu cần thiết&gt;</t>
  </si>
  <si>
    <t xml:space="preserve">Tài liệu SRS phiên bản v1.0 đã đáp ứng phần lớn các tiêu chí kiểm soát và nội dung bắt buộc theo checklist. Các mục về kiểm soát tài liệu, phạm vi, mục đích, chức năng, phân nhóm chức năng, mô tả nghiệp vụ, yêu cầu phi chức năng, giao diện, bảo mật, hiệu năng, và các ràng buộc kỹ thuật đều được trình bày đầy đủ, rõ ràng. Tài liệu có mô hình phân rã chức năng, mô tả đặc điểm người dùng, và các yêu cầu về giao tiếp, hỗ trợ, tiêu chuẩn áp dụng đã được xác định.</t>
  </si>
  <si>
    <t xml:space="preserve">- Bổ sung thông tin tên công ty và logo vào trang tiêu đề để hoàn thiện kiểm soát tài liệu.
 - Thêm trường “độ ưu tiên” cho từng yêu cầu chức năng để hỗ trợ lập kế hoạch phát triển và kiểm thử.
 - Bổ sung mục tiêu chí nghiệm thu cho từng chức năng nhằm phục vụ công tác nghiệm thu và kiểm thử.
 - Đánh dấu hoặc chú thích rõ các yêu cầu còn thiếu thông tin để dễ dàng hoàn thiện ở các vòng review tiếp theo.
 - Mô tả chi tiết thuật toán hoặc logic xử lý cho các use case phức tạp (ví dụ: random câu hỏi, chấm điểm tự động).
 - Bổ sung yêu cầu về sao lưu dữ liệu, đặc biệt với các hệ thống lưu trữ thông tin học tập, kết quả người dùng.
 - Nếu hệ thống có sử dụng thành phần mua ngoài, cần mô tả rõ và bổ sung các yêu cầu pháp lý, bản quyền liên quan.
 - Nếu có tích hợp phần cứng hoặc giao tiếp phần cứng, cần bổ sung mô tả chi tiết.
 - Khi tài liệu nâng cấp lên phiên bản mới, cần đảm bảo bảng ghi nhận thay đổi được cập nhật đầy đủ, chính xác.</t>
  </si>
  <si>
    <t xml:space="preserve">Tài liệu đã đáp ứng tốt các tiêu chí cơ bản và phần lớn nội dung bắt buộc. Các điểm còn thiếu đều mang tính bổ sung, không ảnh hưởng tới tính đầy đủ và khả năng sử dụng của tài liệu ở giai đoạn hiện tại, nhưng cần hoàn thiện ở các phiên bản tiếp theo để đảm bảo chất lượng và khả năng kiểm thử, nghiệm thu.</t>
  </si>
  <si>
    <t xml:space="preserve">Chức năng: -  Đánh giá tour và Feedback</t>
  </si>
  <si>
    <t xml:space="preserve">Đề tài:</t>
  </si>
  <si>
    <t xml:space="preserve">Số lượng Pass/Fail/NA:</t>
  </si>
  <si>
    <t>43/4/7</t>
  </si>
  <si>
    <t xml:space="preserve">Ưu điểm</t>
  </si>
  <si>
    <t xml:space="preserve">Phân hệ Đánh giá tour và Feedback được xây dựng theo mô hình Node.js MVC (Backend) và React Component (Frontend) giúp phân tách rõ ràng trách nhiệm giữa client-side và server-side.
Đặt tên các API endpoint, Service và Controller (như reviewService, feedbackService, FeedbackPage) rất rõ ràng, dễ hiểu.
Code được format chuẩn hóa, thụt lề nhất quán và dễ đọc.
Sử dụng các hook React (như useMutation, useQuery) của React Query giúp quản lý state API tối ưu, đồng bộ tốt với backend.
Sử dụng Ant Design Form Validation và rules validation nghiêm ngặt ở cả FE và BE (như quy định độ dài ký tự đánh giá tối thiểu 10 ký tự), nâng cao trải nghiệm người dùng.
Có cấu trúc exception handling try-catch đầy đủ tại API Controller và Service, tránh rủi ro sập ứng dụng khi gặp lỗi DB.</t>
  </si>
  <si>
    <t xml:space="preserve">Nhược điểm</t>
  </si>
  <si>
    <t xml:space="preserve">Một số component UI như OrderCard và FormReview có phần code xử lý render còn dài và có thể chia nhỏ hơn nữa.
Tồn tại nhiều dòng code console.log debug chưa được dọn sạch.
Chưa áp dụng enum tập trung cho các trạng thái phản hồi và vai trò người dùng, hiện tại đang dùng hardcoded string.
Hàm getUserReviews và getAllReviews trong reviewService.ts chạy truy vấn DB riêng lẻ cho từng tour/user trong vòng lặp map.
Dữ liệu thống kê phản hồi hoặc đánh giá chưa được tối ưu hóa bằng Caching (như Redis) trong môi trường tải cao.</t>
  </si>
  <si>
    <t xml:space="preserve">Nhận xét chung</t>
  </si>
  <si>
    <t xml:space="preserve">Các điểm hạn chế chủ yếu nằm ở khâu dọn dẹp console.log, tối ưu hóa truy vấn DB trong vòng lặp, và tối ưu cấu trúc component UI. Phân hệ hoàn toàn không có lỗi logic nghiêm trọng nào ảnh hưởng đến an toàn dữ liệu. Nếu dọn sạch console.log và gộp truy vấn DB (bulk query), phân hệ này đạt chuẩn chất lượng cao để vận hành thực tế.</t>
  </si>
  <si>
    <t>Mục</t>
  </si>
  <si>
    <t>Pass/Fail/NA</t>
  </si>
  <si>
    <t xml:space="preserve">Đã tuân thủ hướng dẫn lập trình được chỉ định trong kế hoạch dự án chưa?</t>
  </si>
  <si>
    <t xml:space="preserve">Comment trong code có đủ không?</t>
  </si>
  <si>
    <t xml:space="preserve">Các quy ước đặt tên có tuân thủ kế hoạch quản lý cấu hình không?</t>
  </si>
  <si>
    <t xml:space="preserve">Code có được định dạng đúng cách không?</t>
  </si>
  <si>
    <t xml:space="preserve">Có một tập hợp chung các quy trình đã được viết mà không tái tạo các quy trình này trong các chương trình khác nhau không?</t>
  </si>
  <si>
    <t xml:space="preserve">Có code rác hay thừa không?</t>
  </si>
  <si>
    <t xml:space="preserve">Tồn tại nhiều dòng debug console.log chưa được dọn dẹp trong reviewService.ts (ví dụ các dòng 208-213, 225, 243, v.v.).</t>
  </si>
  <si>
    <t xml:space="preserve">Có bất kỳ nhãn nào không được tham chiếu không?</t>
  </si>
  <si>
    <t xml:space="preserve">Các con trỏ đã được thiết lập thành NULL nếu cần thiết không?</t>
  </si>
  <si>
    <t xml:space="preserve">TypeScript không sử dụng con trỏ thủ công</t>
  </si>
  <si>
    <t xml:space="preserve">Phép tính con trỏ có dẫn đến việc trỏ tới bộ nhớ nằm ngoài phạm vi không?</t>
  </si>
  <si>
    <t xml:space="preserve">JavaScript/TypeScript không hỗ trợ các phép toán cộng trừ trực tiếp trên địa chỉ bộ nhớ</t>
  </si>
  <si>
    <t xml:space="preserve">Tất cả các chỉ số mảng có nằm trong giới hạn không?</t>
  </si>
  <si>
    <t xml:space="preserve">Tất cả các chỉ số mảng đã được khởi tạo đúng hay chưa?</t>
  </si>
  <si>
    <t xml:space="preserve">Tất cả các điều kiện rẽ nhánh đã chính xác chưa?</t>
  </si>
  <si>
    <t xml:space="preserve">Tất cả vòng lặp đã kết thúc chưa?</t>
  </si>
  <si>
    <t xml:space="preserve">Điều kiện để kết thúc một vòng lặp có thực tế không?</t>
  </si>
  <si>
    <t xml:space="preserve">Các mẫu số trong các phép chia đã được kiểm tra để đảm bảo không bằng không trước khi thực hiện phép chia chưa?</t>
  </si>
  <si>
    <t xml:space="preserve">Có thể đặt bất kỳ câu lệnh nào được đặt bên trong một vòng lặp ra bên ngoài vòng lặp không?</t>
  </si>
  <si>
    <t xml:space="preserve">Trong getUserReviews và getAllReviews của reviewService.ts đang chạy truy vấn findTourById và User.findByPk riêng lẻ cho từng phần tử thông qua Promise.all(reviews.map(...)) thay vì thực hiện bulk query (findAll với Op.in).</t>
  </si>
  <si>
    <t xml:space="preserve">Có bất kỳ phần nào trong mã nguồn mà luồng thực thi không bao giờ đạt tới không?</t>
  </si>
  <si>
    <t xml:space="preserve">Có các câu lệnh "if" lồng nhau với hơn ba cấp không?</t>
  </si>
  <si>
    <t xml:space="preserve">Các tham số giao diện thực tế và hình thức có khớp nhau không?</t>
  </si>
  <si>
    <t xml:space="preserve">Có bất kỳ biến nào đã được khai báo nhưng không sử dụng không?</t>
  </si>
  <si>
    <t xml:space="preserve">Bộ nhớ có được khởi tạo đúng không?</t>
  </si>
  <si>
    <t xml:space="preserve">V8 Engine tự động cấp phát không gian trên RAM khi biến được khai báo</t>
  </si>
  <si>
    <t xml:space="preserve">Bộ nhớ động đã được giải phóng ở tất cả các điểm thoát không?</t>
  </si>
  <si>
    <t xml:space="preserve">Không quản lý bộ nhớ thủ công</t>
  </si>
  <si>
    <t xml:space="preserve">Các truy vấn trên bảng có bắt buộc sử dụng các chỉ mục không?</t>
  </si>
  <si>
    <t xml:space="preserve">Trạng thái lỗi được kiểm tra sau mỗi câu lệnh SQL có cấu trúc không?</t>
  </si>
  <si>
    <t xml:space="preserve">Trước khi cập nhật, việc khóa được thực hiện khi cần thiết không?</t>
  </si>
  <si>
    <t xml:space="preserve">Các điều kiện sau đã được kiểm tra trong các biểu thức không:</t>
  </si>
  <si>
    <t xml:space="preserve">a. Làm tròn?</t>
  </si>
  <si>
    <t xml:space="preserve">b. Khả năng chia cho 0?</t>
  </si>
  <si>
    <t xml:space="preserve">Yêu cầu về thời gian phản hồi có được đáp ứng không?</t>
  </si>
  <si>
    <t xml:space="preserve">Có phương án tốt hơn nào để cải thiện thời gian phản hồi không?</t>
  </si>
  <si>
    <t xml:space="preserve">Xem xét tích hợp Redis caching cho hàm getTourReviews và getReviewStats của các tour phổ biến để giảm tải truy vấn cơ sở dữ liệu.</t>
  </si>
  <si>
    <t xml:space="preserve">Các kiểm tra sau đã được thực hiện chưa:</t>
  </si>
  <si>
    <t xml:space="preserve">a. Kiểm tra bảng hoặc file trống?</t>
  </si>
  <si>
    <t xml:space="preserve">b. Kiểm tra các lỗi vào ra?</t>
  </si>
  <si>
    <t xml:space="preserve">Thông báo lỗi có rõ ràng không? Các thông báo lỗi có đủ không?</t>
  </si>
  <si>
    <t xml:space="preserve">Tất cả các điều kiện lỗi đã được bắt và xử lý chưa?</t>
  </si>
  <si>
    <t xml:space="preserve">Trong biểu thức toán học, đã được xử lý những điều sau chưa:</t>
  </si>
  <si>
    <t xml:space="preserve">a. Thứ tự xử lý có mơ hồ không?</t>
  </si>
  <si>
    <t xml:space="preserve">b. Có cần cuộn ngang để đọc toàn bộ biểu thức không?</t>
  </si>
  <si>
    <t xml:space="preserve">không có biểu thức dài</t>
  </si>
  <si>
    <t xml:space="preserve">c. Tất cả dấu ngoặc có được đóng đúng không? Chúng đảm bảo thứ tự xử lý đúng không?</t>
  </si>
  <si>
    <t xml:space="preserve">d. Việc làm tròn được thực hiện cùng với biểu thức không?</t>
  </si>
  <si>
    <t xml:space="preserve">e. Phép chia có kết hợp với biểu thức khác không?</t>
  </si>
  <si>
    <t xml:space="preserve">f. Có biểu thức nào sử dụng trường bảng hoặc trường tệp trực tiếp trong biểu thức không?</t>
  </si>
  <si>
    <t xml:space="preserve">Trong các biểu thức quan hệ, đã được xử lý các vấn đề sau:</t>
  </si>
  <si>
    <t xml:space="preserve">a. Các so sánh đã đảm bảo giữa cùng loại dữ liệu chưa?</t>
  </si>
  <si>
    <t xml:space="preserve">b. Có thể có hơn hai kết quả cho bất kỳ biểu thức nào không?</t>
  </si>
  <si>
    <t xml:space="preserve">c. Biểu thức có phục vụ mục đích mà nó được sử dụng không?</t>
  </si>
  <si>
    <t xml:space="preserve">d. Có cần cuộn ngang để đọc toàn bộ biểu thức không?</t>
  </si>
  <si>
    <t xml:space="preserve">Không có biểu thức dài</t>
  </si>
  <si>
    <t xml:space="preserve">Trong các biểu thức logic, đã được xử lý các vấn đề sau:</t>
  </si>
  <si>
    <t xml:space="preserve">a. Có phục vụ mục đích mà biểu thức logic được sử dụng không?</t>
  </si>
  <si>
    <t xml:space="preserve">b. Có biểu thức quan hệ được sử dụng có kết quả là true hoặc false không?</t>
  </si>
  <si>
    <t xml:space="preserve">c. Mỗi biểu thức quan hệ có nằm trong một cặp dấu ngoặc không?</t>
  </si>
  <si>
    <t xml:space="preserve">d. Tại bất kỳ thời điểm nào, chỉ có hai biểu thức quan hệ được so sánh không?</t>
  </si>
  <si>
    <t xml:space="preserve">e. Có cần cuộn ngang để đọc toàn bộ biểu thức không?</t>
  </si>
  <si>
    <t xml:space="preserve">Trong các hoạt động với file và bảng, đã được xử lý các vấn đề sau:</t>
  </si>
  <si>
    <t xml:space="preserve">a. Có bất kỳ file hoặc bảng nào được mở sớm hơn khi chúng được yêu cầu không?</t>
  </si>
  <si>
    <t xml:space="preserve">b. Có bất kỳ file hoặc bảng nào bị để mở khi các hoạt động hoàn thành không?</t>
  </si>
  <si>
    <t xml:space="preserve">Trong khai báo biến, đã được xử lý các vấn đề sau:</t>
  </si>
  <si>
    <t xml:space="preserve">a. Tất cả các biến được khai báo là biến toàn cục (global) hoặc tĩnh (static) có thực sự cần phải là biến toàn cục hoặc tĩnh không?</t>
  </si>
  <si>
    <t xml:space="preserve">b. Có bất kỳ khai báo biến không cần thiết nào không?</t>
  </si>
  <si>
    <t xml:space="preserve">c. Có bất kỳ tên biến nào xung đột với từ khóa của ngôn ngữ lập trình đang được sử dụng không?</t>
  </si>
  <si>
    <t xml:space="preserve">d. Có bất kỳ mã cứng (hard code) nào trong mã nguồn không?</t>
  </si>
  <si>
    <t xml:space="preserve">Trạng thái feedback ('pending', 'cancelled') và vai trò của người dùng ('user', 'admin', 'employee') đang được hardcode dưới dạng chuỗi thay vì sử dụng Enum tập trung.</t>
  </si>
  <si>
    <t xml:space="preserve">BÁO CÁO KIỂM THỬ HIỆU NĂNG</t>
  </si>
  <si>
    <t xml:space="preserve">Kịch bản kiểm thử: Đánh giá tour và gửi Feedback. Ngày báo cáo: 14/06/2026 Người thực hiện: Phạm Văn Đức</t>
  </si>
  <si>
    <t xml:space="preserve">1. Giới thiệu</t>
  </si>
  <si>
    <t xml:space="preserve">Mục đích: Báo cáo này trình bày kết quả kiểm thử hiệu năng tổng hợp cho 5 API liên quan đến chức năng Đánh giá tour và Feedback, bao gồm:
    - API lấy danh sách đánh giá của tour
    - API gửi đánh giá tour mới
    - API gửi phản hồi (Feedback)
    - API lấy danh sách feedback (Admin)
    - API cập nhật trạng thái feedback (Admin)
Mục tiêu là đánh giá khả năng đáp ứng và độ tin cậy của các API dưới các điều kiện tải khác nhau, đảm bảo chúng đáp ứng yêu cầu của hệ thống bán tour trực tuyến.
Phạm vi: Kiểm thử hiệu năng các API trong môi trường development với tải mô phỏng 20 người dùng đồng thời, tập trung vào thời gian phản hồi, tỷ lệ lỗi, và khả năng chịu tải.
Tiêu chí đánh giá:
    - Thời gian phản hồi trung bình &lt; 2 giây.
    - Tỷ lệ lỗi thấp, lý tưởng là 0%, để đảm bảo độ ổn định.</t>
  </si>
  <si>
    <t xml:space="preserve">2. Phương pháp kiểm thử</t>
  </si>
  <si>
    <t xml:space="preserve">Công cụ sử dụng: Apache JMeter (giả lập request API và ghi nhận performance metrics)</t>
  </si>
  <si>
    <t xml:space="preserve">3. Kết quả kiểm thử cho từng API</t>
  </si>
  <si>
    <t xml:space="preserve">API 1: Lấy danh sách đánh giá của tour
    - Mô tả: API GET dùng để lấy danh sách đánh giá cho một tour cụ thể, hỗ trợ phân trang.
    - URL: http://localhost:5000/api/reviews/tour/1?page=1&amp;limit=10
    - Kịch bản: 20 người dùng đồng thời, ramp-up 10 giây, vòng lặp 5, với 100 mẫu được ghi nhận.
    - Kết quả:
          + Số mẫu: 100
          + Thời gian phản hồi trung bình: 4 ms
          + Thời gian phản hồi tối thiểu: 2 ms
          + Thời gian phản hồi tối đa: 20 ms
          + Độ lệch chuẩn: 2.5 ms
          + Throughput: 10.5 requests/giây
          + Tỷ lệ lỗi: 0%</t>
  </si>
  <si>
    <t xml:space="preserve">API 2: Gửi đánh giá tour mới
    - Mô tả: API POST dùng để gửi đánh giá và số sao cho tour.
    - URL: http://localhost:5000/api/reviews
    - Body: {"tourId": 1, "rating": 5, "comment": "Tuyệt vời!"}
    - Kịch bản: 20 người dùng đồng thời, ramp-up 10 giây, vòng lặp 5, với 100 mẫu được ghi nhận.
    - Kết quả:
          + Số mẫu: 100
          + Thời gian phản hồi trung bình: 45 ms
          + Thời gian phản hồi tối thiểu: 20 ms
          + Thời gian phản hồi tối đa: 156 ms
          + Độ lệch chuẩn: 18.5 ms
          + Throughput: 8.5 requests/giây
          + Tỷ lệ lỗi: 0%</t>
  </si>
  <si>
    <t xml:space="preserve">API 3: Gửi phản hồi (Feedback) hệ thống
    - Mô tả: API POST dùng để người dùng gửi phản hồi về hệ thống.
    - URL: http://localhost:5000/api/feedbacks/create-feedback
    - Body: {"title": "Lỗi UI", "content": "Giao diện bị lệch"}
    - Kịch bản: 20 người dùng đồng thời, ramp-up 10 giây, vòng lặp 5, với 100 mẫu được ghi nhận.
    - Kết quả:
          + Số mẫu: 100
          + Thời gian phản hồi trung bình: 38 ms
          + Thời gian phản hồi tối thiểu: 15 ms
          + Thời gian phản hồi tối đa: 112 ms
          + Độ lệch chuẩn: 12.3 ms
          + Throughput: 9.1 requests/giây
          + Tỷ lệ lỗi: 0%</t>
  </si>
  <si>
    <t xml:space="preserve">API 4: Lấy danh sách feedback (Admin)
    - Mô tả: API GET dùng cho admin để lấy danh sách phản hồi.
    - URL: http://localhost:5000/api/feedbacks/get-feedback?page=1&amp;limit=20
    - Kịch bản: 20 người dùng đồng thời, ramp-up 10 giây, vòng lặp 5, với 100 mẫu được ghi nhận.
    - Kết quả:
          + Số mẫu: 100
          + Thời gian phản hồi trung bình: 4 ms
          + Thời gian phản hồi tối thiểu: 3 ms
          + Thời gian phản hồi tối đa: 15 ms
          + Độ lệch chuẩn: 1.57 ms
          + Throughput: 10.8 requests/giây
          + Tỷ lệ lỗi: 0%</t>
  </si>
  <si>
    <t xml:space="preserve">API 5: Cập nhật trạng thái feedback (Admin)
    - Mô tả: API PUT dùng để admin đánh dấu feedback đã xử lý.
    - URL: http://localhost:5000/api/admin/feedbacks/1/status
    - Body: {"status": "RESOLVED"}
    - Kịch bản: 20 người dùng đồng thời, ramp-up 10 giây, vòng lặp 5, với 100 mẫu được ghi nhận.
    - Kết quả:
          + Số mẫu: 100
          + Thời gian phản hồi trung bình: 48 ms
          + Thời gian phản hồi tối thiểu: 22 ms
          + Thời gian phản hồi tối đa: 165 ms
          + Độ lệch chuẩn: 20.1 ms
          + Throughput: 8.2 requests/giây
          + Tỷ lệ lỗi: 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</si>
</sst>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dd/mm/yyyy"/>
    <numFmt numFmtId="165" formatCode="00000"/>
  </numFmts>
  <fonts count="37">
    <font>
      <sz val="11.000000"/>
      <color theme="1"/>
      <name val="Calibri"/>
      <scheme val="minor"/>
    </font>
    <font>
      <sz val="13.000000"/>
      <color theme="1"/>
      <name val="Times New Roman"/>
    </font>
    <font>
      <b/>
      <sz val="13.000000"/>
      <color theme="1"/>
      <name val="Times New Roman"/>
    </font>
    <font>
      <i/>
      <sz val="13.000000"/>
      <color theme="1"/>
      <name val="Times New Roman"/>
    </font>
    <font>
      <b/>
      <sz val="13.000000"/>
      <color indexed="65"/>
      <name val="Times New Roman"/>
    </font>
    <font>
      <sz val="13.000000"/>
      <color rgb="FF1F1F1F"/>
      <name val="Times New Roman"/>
    </font>
    <font>
      <b/>
      <sz val="13.000000"/>
      <color rgb="FF3B3B3B"/>
      <name val="Times New Roman"/>
    </font>
    <font>
      <sz val="13.000000"/>
      <color rgb="FF3B3B3B"/>
      <name val="Times New Roman"/>
    </font>
    <font>
      <b/>
      <sz val="13.000000"/>
      <color indexed="18"/>
      <name val="Times New Roman"/>
    </font>
    <font>
      <i/>
      <sz val="13.000000"/>
      <color indexed="18"/>
      <name val="Times New Roman"/>
    </font>
    <font>
      <sz val="10.000000"/>
      <color theme="1"/>
      <name val="Arial"/>
    </font>
    <font>
      <b/>
      <sz val="13.000000"/>
      <color indexed="18"/>
      <name val="times new roman"/>
    </font>
    <font>
      <sz val="13.000000"/>
      <color theme="1"/>
      <name val="times new roman"/>
    </font>
    <font>
      <sz val="13.000000"/>
      <color indexed="16"/>
      <name val="times new roman"/>
    </font>
    <font>
      <b/>
      <sz val="13.000000"/>
      <color indexed="65"/>
      <name val="times new roman"/>
    </font>
    <font>
      <b/>
      <sz val="13.000000"/>
      <color theme="1"/>
      <name val="times new roman"/>
    </font>
    <font>
      <sz val="13.000000"/>
      <color indexed="4"/>
      <name val="times new roman"/>
    </font>
    <font>
      <b/>
      <sz val="10.000000"/>
      <color indexed="18"/>
      <name val="Arial"/>
    </font>
    <font>
      <b/>
      <sz val="10.000000"/>
      <color indexed="4"/>
      <name val="Arial"/>
    </font>
    <font>
      <i/>
      <sz val="10.000000"/>
      <color theme="1"/>
      <name val="Calibri"/>
    </font>
    <font>
      <b/>
      <sz val="18.000000"/>
      <color indexed="18"/>
      <name val="Arial"/>
    </font>
    <font>
      <name val="Arial"/>
    </font>
    <font>
      <color indexed="16"/>
      <name val="Arial"/>
    </font>
    <font>
      <b/>
      <color indexed="65"/>
      <name val="Arial"/>
    </font>
    <font>
      <b/>
      <color indexed="16"/>
      <name val="Arial"/>
    </font>
    <font>
      <color indexed="4"/>
      <name val="Arial"/>
    </font>
    <font>
      <color indexed="2"/>
      <name val="Arial"/>
    </font>
    <font>
      <b/>
      <name val="Arial"/>
    </font>
    <font>
      <i/>
      <name val="Arial"/>
    </font>
    <font>
      <b/>
      <color indexed="18"/>
      <name val="Arial"/>
    </font>
    <font>
      <b/>
      <color indexed="4"/>
      <name val="Arial"/>
    </font>
    <font>
      <sz val="13.000000"/>
      <color rgb="FF231F20"/>
      <name val="Times New Roman"/>
    </font>
    <font>
      <color theme="1"/>
      <name val="Arial"/>
    </font>
    <font>
      <b/>
      <sz val="16.000000"/>
      <name val="Arial"/>
    </font>
    <font>
      <b/>
      <sz val="11.000000"/>
      <name val="Arial"/>
    </font>
    <font>
      <b/>
      <sz val="12.000000"/>
      <name val="Arial"/>
    </font>
    <font>
      <sz val="11.000000"/>
      <name val="Arial"/>
    </font>
  </fonts>
  <fills count="14">
    <fill>
      <patternFill patternType="none"/>
    </fill>
    <fill>
      <patternFill patternType="gray125"/>
    </fill>
    <fill>
      <patternFill patternType="solid">
        <fgColor rgb="FFD3D3D3"/>
        <bgColor rgb="FFD3D3D3"/>
      </patternFill>
    </fill>
    <fill>
      <patternFill patternType="solid">
        <fgColor rgb="FF3D85C6"/>
        <bgColor rgb="FF3D85C6"/>
      </patternFill>
    </fill>
    <fill>
      <patternFill patternType="solid">
        <fgColor rgb="FFCFE2F3"/>
        <bgColor rgb="FFCFE2F3"/>
      </patternFill>
    </fill>
    <fill>
      <patternFill patternType="solid">
        <fgColor rgb="FFD9EAD3"/>
        <bgColor rgb="FFD9EAD3"/>
      </patternFill>
    </fill>
    <fill>
      <patternFill patternType="solid">
        <fgColor rgb="FFE06666"/>
        <bgColor rgb="FFE06666"/>
      </patternFill>
    </fill>
    <fill>
      <patternFill patternType="solid">
        <fgColor rgb="FFF4CCCC"/>
        <bgColor rgb="FFF4CCCC"/>
      </patternFill>
    </fill>
    <fill>
      <patternFill patternType="solid">
        <fgColor indexed="65"/>
        <bgColor indexed="65"/>
      </patternFill>
    </fill>
    <fill>
      <patternFill patternType="solid">
        <fgColor rgb="FF9FC5E8"/>
        <bgColor rgb="FF9FC5E8"/>
      </patternFill>
    </fill>
    <fill>
      <patternFill patternType="solid">
        <fgColor theme="0"/>
        <bgColor theme="0"/>
      </patternFill>
    </fill>
    <fill>
      <patternFill patternType="solid">
        <fgColor indexed="18"/>
        <bgColor indexed="18"/>
      </patternFill>
    </fill>
    <fill>
      <patternFill patternType="solid">
        <fgColor indexed="27"/>
        <bgColor indexed="27"/>
      </patternFill>
    </fill>
    <fill>
      <patternFill patternType="solid">
        <fgColor rgb="FFEAD1DC"/>
        <bgColor rgb="FFEAD1DC"/>
      </patternFill>
    </fill>
  </fills>
  <borders count="57">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none"/>
      <right style="none"/>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none"/>
      <top style="thin">
        <color auto="1"/>
      </top>
      <bottom style="thin">
        <color auto="1"/>
      </bottom>
      <diagonal style="none"/>
    </border>
    <border>
      <left style="none"/>
      <right style="thin">
        <color auto="1"/>
      </right>
      <top style="none"/>
      <bottom style="none"/>
      <diagonal style="none"/>
    </border>
    <border>
      <left style="thin">
        <color auto="1"/>
      </left>
      <right style="thin">
        <color auto="1"/>
      </right>
      <top style="none"/>
      <bottom style="none"/>
      <diagonal style="none"/>
    </border>
    <border>
      <left style="thin">
        <color indexed="18"/>
      </left>
      <right style="thin">
        <color indexed="18"/>
      </right>
      <top style="thin">
        <color indexed="18"/>
      </top>
      <bottom style="thin">
        <color indexed="18"/>
      </bottom>
      <diagonal style="none"/>
    </border>
    <border>
      <left style="none"/>
      <right style="none"/>
      <top style="thin">
        <color indexed="18"/>
      </top>
      <bottom style="thin">
        <color indexed="18"/>
      </bottom>
      <diagonal style="none"/>
    </border>
    <border>
      <left style="none"/>
      <right style="thin">
        <color indexed="18"/>
      </right>
      <top style="thin">
        <color indexed="18"/>
      </top>
      <bottom style="thin">
        <color indexed="18"/>
      </bottom>
      <diagonal style="none"/>
    </border>
    <border>
      <left style="thin">
        <color indexed="65"/>
      </left>
      <right style="thin">
        <color indexed="65"/>
      </right>
      <top style="thin">
        <color indexed="65"/>
      </top>
      <bottom style="thin">
        <color indexed="65"/>
      </bottom>
      <diagonal style="none"/>
    </border>
    <border>
      <left style="none"/>
      <right style="none"/>
      <top style="thin">
        <color indexed="65"/>
      </top>
      <bottom style="thin">
        <color indexed="65"/>
      </bottom>
      <diagonal style="none"/>
    </border>
    <border>
      <left style="none"/>
      <right style="thin">
        <color indexed="65"/>
      </right>
      <top style="thin">
        <color indexed="65"/>
      </top>
      <bottom style="thin">
        <color indexed="65"/>
      </bottom>
      <diagonal style="none"/>
    </border>
    <border>
      <left style="thin">
        <color indexed="65"/>
      </left>
      <right style="thin">
        <color indexed="65"/>
      </right>
      <top style="thin">
        <color indexed="65"/>
      </top>
      <bottom style="none"/>
      <diagonal style="none"/>
    </border>
    <border>
      <left style="none"/>
      <right style="none"/>
      <top style="thin">
        <color indexed="65"/>
      </top>
      <bottom style="none"/>
      <diagonal style="none"/>
    </border>
    <border>
      <left style="none"/>
      <right style="thin">
        <color indexed="65"/>
      </right>
      <top style="thin">
        <color indexed="65"/>
      </top>
      <bottom style="none"/>
      <diagonal style="none"/>
    </border>
    <border>
      <left style="thin">
        <color indexed="18"/>
      </left>
      <right style="none"/>
      <top style="thin">
        <color indexed="18"/>
      </top>
      <bottom style="dotted">
        <color rgb="FF1C4587"/>
      </bottom>
      <diagonal style="none"/>
    </border>
    <border>
      <left style="thin">
        <color rgb="FF1C4587"/>
      </left>
      <right style="dotted">
        <color rgb="FF1C4587"/>
      </right>
      <top style="thin">
        <color rgb="FF1C4587"/>
      </top>
      <bottom style="dotted">
        <color rgb="FF1C4587"/>
      </bottom>
      <diagonal style="none"/>
    </border>
    <border>
      <left style="dotted">
        <color rgb="FF1C4587"/>
      </left>
      <right style="dotted">
        <color rgb="FF1C4587"/>
      </right>
      <top style="thin">
        <color rgb="FF1C4587"/>
      </top>
      <bottom style="dotted">
        <color rgb="FF1C4587"/>
      </bottom>
      <diagonal style="none"/>
    </border>
    <border>
      <left style="dotted">
        <color rgb="FF1C4587"/>
      </left>
      <right style="thin">
        <color rgb="FF1C4587"/>
      </right>
      <top style="thin">
        <color rgb="FF1C4587"/>
      </top>
      <bottom style="dotted">
        <color rgb="FF1C4587"/>
      </bottom>
      <diagonal style="none"/>
    </border>
    <border>
      <left style="none"/>
      <right style="none"/>
      <top style="thin">
        <color indexed="18"/>
      </top>
      <bottom style="dotted">
        <color rgb="FF1C4587"/>
      </bottom>
      <diagonal style="none"/>
    </border>
    <border>
      <left style="thin">
        <color indexed="18"/>
      </left>
      <right style="none"/>
      <top style="dotted">
        <color rgb="FF1C4587"/>
      </top>
      <bottom style="dotted">
        <color rgb="FF1C4587"/>
      </bottom>
      <diagonal style="none"/>
    </border>
    <border>
      <left style="thin">
        <color rgb="FF1C4587"/>
      </left>
      <right style="dotted">
        <color rgb="FF1C4587"/>
      </right>
      <top style="dotted">
        <color rgb="FF1C4587"/>
      </top>
      <bottom style="dotted">
        <color rgb="FF1C4587"/>
      </bottom>
      <diagonal style="none"/>
    </border>
    <border>
      <left style="dotted">
        <color rgb="FF1C4587"/>
      </left>
      <right style="dotted">
        <color rgb="FF1C4587"/>
      </right>
      <top style="dotted">
        <color rgb="FF1C4587"/>
      </top>
      <bottom style="dotted">
        <color rgb="FF1C4587"/>
      </bottom>
      <diagonal style="none"/>
    </border>
    <border>
      <left style="dotted">
        <color rgb="FF1C4587"/>
      </left>
      <right style="thin">
        <color rgb="FF1C4587"/>
      </right>
      <top style="dotted">
        <color rgb="FF1C4587"/>
      </top>
      <bottom style="dotted">
        <color rgb="FF1C4587"/>
      </bottom>
      <diagonal style="none"/>
    </border>
    <border>
      <left style="none"/>
      <right style="thin">
        <color indexed="18"/>
      </right>
      <top style="dotted">
        <color rgb="FF1C4587"/>
      </top>
      <bottom style="dotted">
        <color rgb="FF1C4587"/>
      </bottom>
      <diagonal style="none"/>
    </border>
    <border>
      <left style="thin">
        <color indexed="18"/>
      </left>
      <right style="none"/>
      <top style="dotted">
        <color rgb="FF1C4587"/>
      </top>
      <bottom style="none"/>
      <diagonal style="none"/>
    </border>
    <border>
      <left style="thin">
        <color rgb="FF1C4587"/>
      </left>
      <right style="dotted">
        <color rgb="FF1C4587"/>
      </right>
      <top style="dotted">
        <color rgb="FF1C4587"/>
      </top>
      <bottom style="thin">
        <color rgb="FF1C4587"/>
      </bottom>
      <diagonal style="none"/>
    </border>
    <border>
      <left style="dotted">
        <color rgb="FF1C4587"/>
      </left>
      <right style="dotted">
        <color rgb="FF1C4587"/>
      </right>
      <top style="dotted">
        <color rgb="FF1C4587"/>
      </top>
      <bottom style="thin">
        <color rgb="FF1C4587"/>
      </bottom>
      <diagonal style="none"/>
    </border>
    <border>
      <left style="dotted">
        <color rgb="FF1C4587"/>
      </left>
      <right style="thin">
        <color rgb="FF1C4587"/>
      </right>
      <top style="dotted">
        <color rgb="FF1C4587"/>
      </top>
      <bottom style="thin">
        <color rgb="FF1C4587"/>
      </bottom>
      <diagonal style="none"/>
    </border>
    <border>
      <left style="none"/>
      <right style="thin">
        <color indexed="18"/>
      </right>
      <top style="dotted">
        <color rgb="FF1C4587"/>
      </top>
      <bottom style="none"/>
      <diagonal style="none"/>
    </border>
    <border>
      <left style="thin">
        <color rgb="FF1C4587"/>
      </left>
      <right style="thin">
        <color rgb="FF1C4587"/>
      </right>
      <top style="thin">
        <color rgb="FF1C4587"/>
      </top>
      <bottom style="thin">
        <color rgb="FF1C4587"/>
      </bottom>
      <diagonal style="none"/>
    </border>
    <border>
      <left style="none"/>
      <right style="none"/>
      <top style="thin">
        <color rgb="FF1C4587"/>
      </top>
      <bottom style="thin">
        <color rgb="FF1C4587"/>
      </bottom>
      <diagonal style="none"/>
    </border>
    <border>
      <left style="none"/>
      <right style="thin">
        <color rgb="FF1C4587"/>
      </right>
      <top style="thin">
        <color rgb="FF1C4587"/>
      </top>
      <bottom style="thin">
        <color rgb="FF1C4587"/>
      </bottom>
      <diagonal style="none"/>
    </border>
    <border>
      <left style="none"/>
      <right style="none"/>
      <top style="thin">
        <color rgb="FF1C4587"/>
      </top>
      <bottom style="none"/>
      <diagonal style="none"/>
    </border>
    <border>
      <left style="none"/>
      <right style="thin">
        <color rgb="FF1C4587"/>
      </right>
      <top style="thin">
        <color rgb="FF1C4587"/>
      </top>
      <bottom style="none"/>
      <diagonal style="none"/>
    </border>
    <border>
      <left style="thin">
        <color rgb="FF1C4587"/>
      </left>
      <right style="none"/>
      <top style="none"/>
      <bottom style="none"/>
      <diagonal style="none"/>
    </border>
    <border>
      <left style="none"/>
      <right style="thin">
        <color rgb="FF1C4587"/>
      </right>
      <top style="none"/>
      <bottom style="none"/>
      <diagonal style="none"/>
    </border>
    <border>
      <left style="thin">
        <color rgb="FF1C4587"/>
      </left>
      <right style="none"/>
      <top style="none"/>
      <bottom style="thin">
        <color rgb="FF1C4587"/>
      </bottom>
      <diagonal style="none"/>
    </border>
    <border>
      <left style="none"/>
      <right style="none"/>
      <top style="none"/>
      <bottom style="thin">
        <color rgb="FF1C4587"/>
      </bottom>
      <diagonal style="none"/>
    </border>
    <border>
      <left style="none"/>
      <right style="thin">
        <color rgb="FF1C4587"/>
      </right>
      <top style="none"/>
      <bottom style="thin">
        <color rgb="FF1C4587"/>
      </bottom>
      <diagonal style="none"/>
    </border>
    <border>
      <left style="thin">
        <color theme="1"/>
      </left>
      <right style="thin">
        <color theme="1"/>
      </right>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none"/>
      <right style="thin">
        <color indexed="18"/>
      </right>
      <top style="none"/>
      <bottom style="none"/>
      <diagonal style="none"/>
    </border>
    <border>
      <left style="thin">
        <color indexed="18"/>
      </left>
      <right style="thin">
        <color indexed="18"/>
      </right>
      <top style="thin">
        <color indexed="18"/>
      </top>
      <bottom style="none"/>
      <diagonal style="none"/>
    </border>
    <border>
      <left style="thin">
        <color indexed="18"/>
      </left>
      <right style="thin">
        <color indexed="18"/>
      </right>
      <top style="none"/>
      <bottom style="none"/>
      <diagonal style="none"/>
    </border>
    <border>
      <left style="thin">
        <color indexed="18"/>
      </left>
      <right style="thin">
        <color indexed="18"/>
      </right>
      <top style="none"/>
      <bottom style="thin">
        <color indexed="18"/>
      </bottom>
      <diagonal style="none"/>
    </border>
    <border>
      <left style="none"/>
      <right style="none"/>
      <top style="none"/>
      <bottom style="thin">
        <color indexed="18"/>
      </bottom>
      <diagonal style="none"/>
    </border>
    <border>
      <left style="none"/>
      <right style="thin">
        <color indexed="18"/>
      </right>
      <top style="none"/>
      <bottom style="thin">
        <color indexed="18"/>
      </bottom>
      <diagonal style="none"/>
    </border>
    <border>
      <left style="thin">
        <color rgb="FF1C4587"/>
      </left>
      <right style="thin">
        <color rgb="FF1C4587"/>
      </right>
      <top style="thin">
        <color rgb="FF1C4587"/>
      </top>
      <bottom style="none"/>
      <diagonal style="none"/>
    </border>
  </borders>
  <cellStyleXfs count="1">
    <xf fontId="0" fillId="0" borderId="0" numFmtId="0" applyNumberFormat="1" applyFont="1" applyFill="1" applyBorder="1"/>
  </cellStyleXfs>
  <cellXfs count="156">
    <xf fontId="0" fillId="0" borderId="0" numFmtId="0" xfId="0" quotePrefix="0" pivotButton="0"/>
    <xf fontId="0" fillId="0" borderId="0" numFmtId="0" xfId="0" applyAlignment="1" quotePrefix="0" pivotButton="0">
      <alignment vertical="top"/>
    </xf>
    <xf fontId="1" fillId="0" borderId="0" numFmtId="0" xfId="0" applyFont="1" applyAlignment="1" quotePrefix="0" pivotButton="0">
      <alignment horizontal="left" vertical="top" wrapText="1"/>
    </xf>
    <xf fontId="2" fillId="0" borderId="0" numFmtId="0" xfId="0" applyFont="1" applyAlignment="1" quotePrefix="0" pivotButton="0">
      <alignment horizontal="center" vertical="top" wrapText="1"/>
    </xf>
    <xf fontId="1" fillId="0" borderId="0" numFmtId="0" xfId="0" applyFont="1" applyAlignment="1" quotePrefix="0" pivotButton="0">
      <alignment vertical="top" wrapText="1"/>
    </xf>
    <xf fontId="3" fillId="0" borderId="0" numFmtId="0" xfId="0" applyFont="1" applyAlignment="1" quotePrefix="0" pivotButton="0">
      <alignment horizontal="center" vertical="top" wrapText="1"/>
    </xf>
    <xf fontId="2" fillId="0" borderId="0" numFmtId="0" xfId="0" applyFont="1" applyAlignment="1" quotePrefix="0" pivotButton="0">
      <alignment horizontal="left" vertical="top" wrapText="1"/>
    </xf>
    <xf fontId="2" fillId="2" borderId="1" numFmtId="0" xfId="0" applyFont="1" applyFill="1" applyBorder="1" applyAlignment="1" quotePrefix="0" pivotButton="0">
      <alignment horizontal="center" vertical="top" wrapText="1"/>
    </xf>
    <xf fontId="1" fillId="0" borderId="1" numFmtId="0" xfId="0" applyFont="1" applyBorder="1" applyAlignment="1" quotePrefix="0" pivotButton="0">
      <alignment horizontal="left" vertical="top" wrapText="1"/>
    </xf>
    <xf fontId="0" fillId="0" borderId="2" numFmtId="0" xfId="0" applyBorder="1" quotePrefix="0" pivotButton="0"/>
    <xf fontId="4" fillId="3" borderId="1" numFmtId="0" xfId="0" applyFont="1" applyFill="1" applyBorder="1" applyAlignment="1" quotePrefix="0" pivotButton="0">
      <alignment horizontal="center" vertical="top" wrapText="1"/>
    </xf>
    <xf fontId="0" fillId="0" borderId="3" numFmtId="0" xfId="0" applyBorder="1" quotePrefix="0" pivotButton="0"/>
    <xf fontId="0" fillId="0" borderId="4" numFmtId="0" xfId="0" applyBorder="1" quotePrefix="0" pivotButton="0"/>
    <xf fontId="0" fillId="0" borderId="5" numFmtId="0" xfId="0" applyBorder="1" quotePrefix="0" pivotButton="0"/>
    <xf fontId="0" fillId="0" borderId="6" numFmtId="0" xfId="0" applyBorder="1" quotePrefix="0" pivotButton="0"/>
    <xf fontId="0" fillId="0" borderId="7" numFmtId="0" xfId="0" applyBorder="1" quotePrefix="0" pivotButton="0"/>
    <xf fontId="2" fillId="0" borderId="1" numFmtId="0" xfId="0" applyFont="1" applyBorder="1" applyAlignment="1" quotePrefix="0" pivotButton="0">
      <alignment horizontal="left" vertical="top" wrapText="1"/>
    </xf>
    <xf fontId="0" fillId="0" borderId="8" numFmtId="0" xfId="0" applyBorder="1" quotePrefix="0" pivotButton="0"/>
    <xf fontId="1" fillId="0" borderId="1" numFmtId="164" xfId="0" applyNumberFormat="1" applyFont="1" applyBorder="1" applyAlignment="1" quotePrefix="0" pivotButton="0">
      <alignment horizontal="left" vertical="top" wrapText="1"/>
    </xf>
    <xf fontId="2" fillId="4" borderId="5" numFmtId="0" xfId="0" applyFont="1" applyFill="1" applyBorder="1" applyAlignment="1" quotePrefix="0" pivotButton="0">
      <alignment horizontal="left" vertical="top" wrapText="1"/>
    </xf>
    <xf fontId="2" fillId="4" borderId="9" numFmtId="0" xfId="0" applyFont="1" applyFill="1" applyBorder="1" applyAlignment="1" quotePrefix="0" pivotButton="0">
      <alignment horizontal="left" vertical="top" wrapText="1"/>
    </xf>
    <xf fontId="2" fillId="0" borderId="0" numFmtId="0" xfId="0" applyFont="1" applyAlignment="1" quotePrefix="0" pivotButton="0">
      <alignment vertical="top" wrapText="1"/>
    </xf>
    <xf fontId="2" fillId="5" borderId="1" numFmtId="0" xfId="0" applyFont="1" applyFill="1" applyBorder="1" applyAlignment="1" quotePrefix="0" pivotButton="0">
      <alignment horizontal="center" vertical="top" wrapText="1"/>
    </xf>
    <xf fontId="1" fillId="0" borderId="1" numFmtId="0" xfId="0" applyFont="1" applyBorder="1" applyAlignment="1" quotePrefix="0" pivotButton="0">
      <alignment horizontal="center" vertical="top" wrapText="1"/>
    </xf>
    <xf fontId="1" fillId="0" borderId="1" numFmtId="0" xfId="0" applyFont="1" applyBorder="1" applyAlignment="1" quotePrefix="0" pivotButton="0">
      <alignment vertical="top" wrapText="1"/>
    </xf>
    <xf fontId="2" fillId="0" borderId="1" numFmtId="165" xfId="0" applyNumberFormat="1" applyFont="1" applyBorder="1" applyAlignment="1" quotePrefix="0" pivotButton="0">
      <alignment horizontal="left" vertical="top" wrapText="1"/>
    </xf>
    <xf fontId="4" fillId="6" borderId="1" numFmtId="165" xfId="0" applyNumberFormat="1" applyFont="1" applyFill="1" applyBorder="1" applyAlignment="1" quotePrefix="0" pivotButton="0">
      <alignment horizontal="left" vertical="top" wrapText="1"/>
    </xf>
    <xf fontId="1" fillId="7" borderId="1" numFmtId="165" xfId="0" applyNumberFormat="1" applyFont="1" applyFill="1" applyBorder="1" applyAlignment="1" quotePrefix="0" pivotButton="0">
      <alignment horizontal="left" vertical="top" wrapText="1"/>
    </xf>
    <xf fontId="1" fillId="0" borderId="1" numFmtId="165" xfId="0" applyNumberFormat="1" applyFont="1" applyBorder="1" applyAlignment="1" quotePrefix="0" pivotButton="0">
      <alignment horizontal="left" vertical="top" wrapText="1"/>
    </xf>
    <xf fontId="5" fillId="0" borderId="1" numFmtId="165" xfId="0" applyNumberFormat="1" applyFont="1" applyBorder="1" applyAlignment="1" quotePrefix="0" pivotButton="0">
      <alignment horizontal="left" vertical="top" wrapText="1"/>
    </xf>
    <xf fontId="1" fillId="0" borderId="1" numFmtId="165" xfId="0" applyNumberFormat="1" applyFont="1" applyBorder="1" applyAlignment="1" quotePrefix="0" pivotButton="0">
      <alignment horizontal="center" vertical="top" wrapText="1"/>
    </xf>
    <xf fontId="1" fillId="0" borderId="10" numFmtId="0" xfId="0" applyFont="1" applyBorder="1" applyAlignment="1" quotePrefix="0" pivotButton="0">
      <alignment vertical="top"/>
    </xf>
    <xf fontId="1" fillId="0" borderId="8" numFmtId="0" xfId="0" applyFont="1" applyBorder="1" applyAlignment="1" quotePrefix="0" pivotButton="0">
      <alignment vertical="top"/>
    </xf>
    <xf fontId="1" fillId="0" borderId="3" numFmtId="0" xfId="0" applyFont="1" applyBorder="1" applyAlignment="1" quotePrefix="0" pivotButton="0">
      <alignment vertical="top"/>
    </xf>
    <xf fontId="1" fillId="0" borderId="4" numFmtId="0" xfId="0" applyFont="1" applyBorder="1" applyAlignment="1" quotePrefix="0" pivotButton="0">
      <alignment vertical="top"/>
    </xf>
    <xf fontId="1" fillId="0" borderId="0" numFmtId="0" xfId="0" applyFont="1" applyAlignment="1" quotePrefix="0" pivotButton="0">
      <alignment vertical="top"/>
    </xf>
    <xf fontId="2" fillId="4" borderId="1" numFmtId="0" xfId="0" applyFont="1" applyFill="1" applyBorder="1" applyAlignment="1" quotePrefix="0" pivotButton="0">
      <alignment horizontal="center" vertical="top" wrapText="1"/>
    </xf>
    <xf fontId="1" fillId="0" borderId="11" numFmtId="0" xfId="0" applyFont="1" applyBorder="1" applyAlignment="1" quotePrefix="0" pivotButton="0">
      <alignment vertical="top"/>
    </xf>
    <xf fontId="5" fillId="8" borderId="7" numFmtId="0" xfId="0" applyFont="1" applyFill="1" applyBorder="1" applyAlignment="1" quotePrefix="0" pivotButton="0">
      <alignment horizontal="right" vertical="top"/>
    </xf>
    <xf fontId="1" fillId="0" borderId="1" numFmtId="0" xfId="0" applyFont="1" applyBorder="1" applyAlignment="1" quotePrefix="0" pivotButton="0">
      <alignment vertical="top"/>
    </xf>
    <xf fontId="1" fillId="8" borderId="0" numFmtId="0" xfId="0" applyFont="1" applyFill="1" applyAlignment="1" quotePrefix="0" pivotButton="0">
      <alignment vertical="top"/>
    </xf>
    <xf fontId="1" fillId="0" borderId="6" numFmtId="0" xfId="0" applyFont="1" applyBorder="1" applyAlignment="1" quotePrefix="0" pivotButton="0">
      <alignment vertical="top"/>
    </xf>
    <xf fontId="1" fillId="0" borderId="7" numFmtId="0" xfId="0" applyFont="1" applyBorder="1" applyAlignment="1" quotePrefix="0" pivotButton="0">
      <alignment vertical="top"/>
    </xf>
    <xf fontId="2" fillId="9" borderId="1" numFmtId="0" xfId="0" applyFont="1" applyFill="1" applyBorder="1" applyAlignment="1" quotePrefix="0" pivotButton="0">
      <alignment horizontal="center" vertical="top" wrapText="1"/>
    </xf>
    <xf fontId="6" fillId="10" borderId="1" numFmtId="0" xfId="0" applyFont="1" applyFill="1" applyBorder="1" applyAlignment="1" quotePrefix="0" pivotButton="0">
      <alignment horizontal="left" vertical="top"/>
    </xf>
    <xf fontId="7" fillId="10" borderId="1" numFmtId="0" xfId="0" applyFont="1" applyFill="1" applyBorder="1" applyAlignment="1" quotePrefix="0" pivotButton="0">
      <alignment horizontal="left" vertical="top"/>
    </xf>
    <xf fontId="1" fillId="0" borderId="1" numFmtId="0" xfId="0" applyFont="1" applyBorder="1" applyAlignment="1" quotePrefix="0" pivotButton="0">
      <alignment horizontal="center" vertical="top"/>
    </xf>
    <xf fontId="0" fillId="0" borderId="12" numFmtId="0" xfId="0" applyBorder="1" quotePrefix="0" pivotButton="0"/>
    <xf fontId="0" fillId="0" borderId="9" numFmtId="0" xfId="0" applyBorder="1" quotePrefix="0" pivotButton="0"/>
    <xf fontId="8" fillId="0" borderId="0" numFmtId="0" xfId="0" applyFont="1" applyAlignment="1" quotePrefix="0" pivotButton="0">
      <alignment horizontal="center" vertical="top"/>
    </xf>
    <xf fontId="1" fillId="0" borderId="0" numFmtId="0" xfId="0" applyFont="1" applyAlignment="1" quotePrefix="0" pivotButton="0">
      <alignment horizontal="right" vertical="top"/>
    </xf>
    <xf fontId="1" fillId="0" borderId="0" numFmtId="0" xfId="0" applyFont="1" applyAlignment="1" quotePrefix="0" pivotButton="0">
      <alignment horizontal="left" vertical="top"/>
    </xf>
    <xf fontId="1" fillId="0" borderId="0" numFmtId="164" xfId="0" applyNumberFormat="1" applyFont="1" applyAlignment="1" quotePrefix="0" pivotButton="0">
      <alignment horizontal="left" vertical="top"/>
    </xf>
    <xf fontId="8" fillId="0" borderId="13" numFmtId="0" xfId="0" applyFont="1" applyBorder="1" applyAlignment="1" quotePrefix="0" pivotButton="0">
      <alignment horizontal="left" vertical="top"/>
    </xf>
    <xf fontId="0" fillId="0" borderId="14" numFmtId="0" xfId="0" applyBorder="1" quotePrefix="0" pivotButton="0"/>
    <xf fontId="0" fillId="0" borderId="15" numFmtId="0" xfId="0" applyBorder="1" quotePrefix="0" pivotButton="0"/>
    <xf fontId="2" fillId="0" borderId="13" numFmtId="0" xfId="0" applyFont="1" applyBorder="1" applyAlignment="1" quotePrefix="0" pivotButton="0">
      <alignment horizontal="left" vertical="top"/>
    </xf>
    <xf fontId="1" fillId="0" borderId="13" numFmtId="0" xfId="0" applyFont="1" applyBorder="1" applyAlignment="1" quotePrefix="0" pivotButton="0">
      <alignment horizontal="left" vertical="top"/>
    </xf>
    <xf fontId="1" fillId="0" borderId="13" numFmtId="0" xfId="0" applyFont="1" applyBorder="1" applyAlignment="1" quotePrefix="0" pivotButton="0">
      <alignment horizontal="center" vertical="top"/>
    </xf>
    <xf fontId="1" fillId="0" borderId="13" numFmtId="0" xfId="0" applyFont="1" applyBorder="1" applyAlignment="1" quotePrefix="0" pivotButton="0">
      <alignment vertical="top"/>
    </xf>
    <xf fontId="1" fillId="0" borderId="15" numFmtId="0" xfId="0" applyFont="1" applyBorder="1" applyAlignment="1" quotePrefix="0" pivotButton="0">
      <alignment horizontal="left" vertical="top" wrapText="1"/>
    </xf>
    <xf fontId="9" fillId="0" borderId="0" numFmtId="0" xfId="0" applyFont="1" applyAlignment="1" quotePrefix="0" pivotButton="0">
      <alignment horizontal="left" vertical="top"/>
    </xf>
    <xf fontId="10" fillId="0" borderId="0" numFmtId="0" xfId="0" applyFont="1" applyAlignment="1" quotePrefix="0" pivotButton="0">
      <alignment vertical="top" wrapText="1"/>
    </xf>
    <xf fontId="11" fillId="0" borderId="0" numFmtId="0" xfId="0" applyFont="1" applyAlignment="1" quotePrefix="0" pivotButton="0">
      <alignment horizontal="left" vertical="top" wrapText="1"/>
    </xf>
    <xf fontId="12" fillId="0" borderId="16" numFmtId="0" xfId="0" applyFont="1" applyBorder="1" applyAlignment="1" quotePrefix="0" pivotButton="0">
      <alignment horizontal="right" vertical="top" wrapText="1"/>
    </xf>
    <xf fontId="13" fillId="0" borderId="16" numFmtId="0" xfId="0" applyFont="1" applyBorder="1" applyAlignment="1" quotePrefix="0" pivotButton="0">
      <alignment horizontal="left" vertical="top" wrapText="1"/>
    </xf>
    <xf fontId="0" fillId="0" borderId="17" numFmtId="0" xfId="0" applyBorder="1" quotePrefix="0" pivotButton="0"/>
    <xf fontId="0" fillId="0" borderId="18" numFmtId="0" xfId="0" applyBorder="1" quotePrefix="0" pivotButton="0"/>
    <xf fontId="13" fillId="0" borderId="16" numFmtId="14" xfId="0" applyNumberFormat="1" applyFont="1" applyBorder="1" applyAlignment="1" quotePrefix="0" pivotButton="0">
      <alignment horizontal="left" vertical="top" wrapText="1"/>
    </xf>
    <xf fontId="13" fillId="0" borderId="19" numFmtId="0" xfId="0" applyFont="1" applyBorder="1" applyAlignment="1" quotePrefix="0" pivotButton="0">
      <alignment horizontal="left" vertical="top" wrapText="1"/>
    </xf>
    <xf fontId="0" fillId="0" borderId="20" numFmtId="0" xfId="0" applyBorder="1" quotePrefix="0" pivotButton="0"/>
    <xf fontId="0" fillId="0" borderId="21" numFmtId="0" xfId="0" applyBorder="1" quotePrefix="0" pivotButton="0"/>
    <xf fontId="14" fillId="11" borderId="22" numFmtId="0" xfId="0" applyFont="1" applyFill="1" applyBorder="1" applyAlignment="1" quotePrefix="0" pivotButton="0">
      <alignment horizontal="left" vertical="top" wrapText="1"/>
    </xf>
    <xf fontId="14" fillId="11" borderId="23" numFmtId="0" xfId="0" applyFont="1" applyFill="1" applyBorder="1" applyAlignment="1" quotePrefix="0" pivotButton="0">
      <alignment horizontal="center" vertical="top" wrapText="1"/>
    </xf>
    <xf fontId="14" fillId="11" borderId="24" numFmtId="0" xfId="0" applyFont="1" applyFill="1" applyBorder="1" applyAlignment="1" quotePrefix="0" pivotButton="0">
      <alignment horizontal="center" vertical="top" wrapText="1"/>
    </xf>
    <xf fontId="14" fillId="11" borderId="25" numFmtId="0" xfId="0" applyFont="1" applyFill="1" applyBorder="1" applyAlignment="1" quotePrefix="0" pivotButton="0">
      <alignment horizontal="center" vertical="top" wrapText="1"/>
    </xf>
    <xf fontId="14" fillId="11" borderId="26" numFmtId="0" xfId="0" applyFont="1" applyFill="1" applyBorder="1" applyAlignment="1" quotePrefix="0" pivotButton="0">
      <alignment horizontal="center" vertical="top" wrapText="1"/>
    </xf>
    <xf fontId="15" fillId="0" borderId="27" numFmtId="0" xfId="0" applyFont="1" applyBorder="1" applyAlignment="1" quotePrefix="0" pivotButton="0">
      <alignment horizontal="left" vertical="top" wrapText="1"/>
    </xf>
    <xf fontId="12" fillId="0" borderId="28" numFmtId="0" xfId="0" applyFont="1" applyBorder="1" applyAlignment="1" quotePrefix="0" pivotButton="0">
      <alignment horizontal="center" vertical="top" wrapText="1"/>
    </xf>
    <xf fontId="12" fillId="0" borderId="29" numFmtId="0" xfId="0" applyFont="1" applyBorder="1" applyAlignment="1" quotePrefix="0" pivotButton="0">
      <alignment horizontal="center" vertical="top" wrapText="1"/>
    </xf>
    <xf fontId="12" fillId="0" borderId="30" numFmtId="0" xfId="0" applyFont="1" applyBorder="1" applyAlignment="1" quotePrefix="0" pivotButton="0">
      <alignment horizontal="center" vertical="top" wrapText="1"/>
    </xf>
    <xf fontId="12" fillId="0" borderId="31" numFmtId="0" xfId="0" applyFont="1" applyBorder="1" applyAlignment="1" quotePrefix="0" pivotButton="0">
      <alignment horizontal="left" vertical="top" wrapText="1"/>
    </xf>
    <xf fontId="10" fillId="0" borderId="0" numFmtId="0" xfId="0" applyFont="1" applyAlignment="1" quotePrefix="0" pivotButton="0">
      <alignment horizontal="center" vertical="top" wrapText="1"/>
    </xf>
    <xf fontId="12" fillId="0" borderId="27" numFmtId="0" xfId="0" applyFont="1" applyBorder="1" applyAlignment="1" quotePrefix="0" pivotButton="0">
      <alignment horizontal="left" vertical="top" wrapText="1"/>
    </xf>
    <xf fontId="16" fillId="0" borderId="29" numFmtId="0" xfId="0" applyFont="1" applyBorder="1" applyAlignment="1" quotePrefix="0" pivotButton="0">
      <alignment horizontal="center" vertical="top" wrapText="1"/>
    </xf>
    <xf fontId="16" fillId="0" borderId="31" numFmtId="0" xfId="0" applyFont="1" applyBorder="1" applyAlignment="1" quotePrefix="0" pivotButton="0">
      <alignment horizontal="left" vertical="top" wrapText="1"/>
    </xf>
    <xf fontId="10" fillId="0" borderId="0" numFmtId="0" xfId="0" applyFont="1" applyAlignment="1" quotePrefix="0" pivotButton="0">
      <alignment vertical="top"/>
    </xf>
    <xf fontId="10" fillId="0" borderId="32" numFmtId="0" xfId="0" applyFont="1" applyBorder="1" applyAlignment="1" quotePrefix="0" pivotButton="0">
      <alignment horizontal="left" vertical="top" wrapText="1"/>
    </xf>
    <xf fontId="10" fillId="0" borderId="33" numFmtId="0" xfId="0" applyFont="1" applyBorder="1" applyAlignment="1" quotePrefix="0" pivotButton="0">
      <alignment horizontal="center" vertical="top" wrapText="1"/>
    </xf>
    <xf fontId="10" fillId="0" borderId="34" numFmtId="0" xfId="0" applyFont="1" applyBorder="1" applyAlignment="1" quotePrefix="0" pivotButton="0">
      <alignment horizontal="center" vertical="top" wrapText="1"/>
    </xf>
    <xf fontId="10" fillId="0" borderId="35" numFmtId="0" xfId="0" applyFont="1" applyBorder="1" applyAlignment="1" quotePrefix="0" pivotButton="0">
      <alignment horizontal="center" vertical="top" wrapText="1"/>
    </xf>
    <xf fontId="10" fillId="0" borderId="36" numFmtId="0" xfId="0" applyFont="1" applyBorder="1" applyAlignment="1" quotePrefix="0" pivotButton="0">
      <alignment horizontal="left" vertical="top" wrapText="1"/>
    </xf>
    <xf fontId="10" fillId="0" borderId="37" numFmtId="0" xfId="0" applyFont="1" applyBorder="1" applyAlignment="1" quotePrefix="0" pivotButton="0">
      <alignment horizontal="left" vertical="top" wrapText="1"/>
    </xf>
    <xf fontId="10" fillId="0" borderId="37" numFmtId="0" xfId="0" applyFont="1" applyBorder="1" applyAlignment="1" quotePrefix="0" pivotButton="0">
      <alignment horizontal="center" vertical="top" wrapText="1"/>
    </xf>
    <xf fontId="17" fillId="0" borderId="37" numFmtId="0" xfId="0" applyFont="1" applyBorder="1" applyAlignment="1" quotePrefix="0" pivotButton="0">
      <alignment horizontal="left" vertical="top" wrapText="1"/>
    </xf>
    <xf fontId="0" fillId="0" borderId="38" numFmtId="0" xfId="0" applyBorder="1" quotePrefix="0" pivotButton="0"/>
    <xf fontId="0" fillId="0" borderId="39" numFmtId="0" xfId="0" applyBorder="1" quotePrefix="0" pivotButton="0"/>
    <xf fontId="0" fillId="0" borderId="40" numFmtId="0" xfId="0" applyBorder="1" quotePrefix="0" pivotButton="0"/>
    <xf fontId="0" fillId="0" borderId="41" numFmtId="0" xfId="0" applyBorder="1" quotePrefix="0" pivotButton="0"/>
    <xf fontId="0" fillId="0" borderId="42" numFmtId="0" xfId="0" applyBorder="1" quotePrefix="0" pivotButton="0"/>
    <xf fontId="0" fillId="0" borderId="43" numFmtId="0" xfId="0" applyBorder="1" quotePrefix="0" pivotButton="0"/>
    <xf fontId="0" fillId="0" borderId="44" numFmtId="0" xfId="0" applyBorder="1" quotePrefix="0" pivotButton="0"/>
    <xf fontId="0" fillId="0" borderId="45" numFmtId="0" xfId="0" applyBorder="1" quotePrefix="0" pivotButton="0"/>
    <xf fontId="0" fillId="0" borderId="46" numFmtId="0" xfId="0" applyBorder="1" quotePrefix="0" pivotButton="0"/>
    <xf fontId="18" fillId="0" borderId="37" numFmtId="0" xfId="0" applyFont="1" applyBorder="1" applyAlignment="1" quotePrefix="0" pivotButton="0">
      <alignment horizontal="left" vertical="top" wrapText="1"/>
    </xf>
    <xf fontId="19" fillId="0" borderId="37" numFmtId="0" xfId="0" applyFont="1" applyBorder="1" applyAlignment="1" quotePrefix="0" pivotButton="0">
      <alignment horizontal="left" vertical="top" wrapText="1"/>
    </xf>
    <xf fontId="0" fillId="0" borderId="0" numFmtId="0" xfId="0" applyAlignment="1" quotePrefix="0" pivotButton="0">
      <alignment vertical="top" wrapText="1"/>
    </xf>
    <xf fontId="20" fillId="0" borderId="0" numFmtId="0" xfId="0" applyFont="1" applyAlignment="1" quotePrefix="0" pivotButton="0">
      <alignment horizontal="left" vertical="top" wrapText="1"/>
    </xf>
    <xf fontId="21" fillId="0" borderId="0" numFmtId="0" xfId="0" applyFont="1" applyAlignment="1" quotePrefix="0" pivotButton="0">
      <alignment vertical="top" wrapText="1"/>
    </xf>
    <xf fontId="21" fillId="0" borderId="47" numFmtId="0" xfId="0" applyFont="1" applyBorder="1" applyAlignment="1" quotePrefix="0" pivotButton="0">
      <alignment horizontal="right" vertical="top" wrapText="1"/>
    </xf>
    <xf fontId="22" fillId="0" borderId="47" numFmtId="0" xfId="0" applyFont="1" applyBorder="1" applyAlignment="1" quotePrefix="0" pivotButton="0">
      <alignment horizontal="left" vertical="top" wrapText="1"/>
    </xf>
    <xf fontId="0" fillId="0" borderId="48" numFmtId="0" xfId="0" applyBorder="1" quotePrefix="0" pivotButton="0"/>
    <xf fontId="0" fillId="0" borderId="49" numFmtId="0" xfId="0" applyBorder="1" quotePrefix="0" pivotButton="0"/>
    <xf fontId="22" fillId="0" borderId="47" numFmtId="164" xfId="0" applyNumberFormat="1" applyFont="1" applyBorder="1" applyAlignment="1" quotePrefix="0" pivotButton="0">
      <alignment horizontal="left" vertical="top" wrapText="1"/>
    </xf>
    <xf fontId="23" fillId="11" borderId="0" numFmtId="0" xfId="0" applyFont="1" applyFill="1" applyAlignment="1" quotePrefix="0" pivotButton="0">
      <alignment horizontal="center" vertical="top" wrapText="1"/>
    </xf>
    <xf fontId="23" fillId="11" borderId="0" numFmtId="0" xfId="0" applyFont="1" applyFill="1" applyAlignment="1" quotePrefix="0" pivotButton="0">
      <alignment horizontal="left" vertical="top" wrapText="1"/>
    </xf>
    <xf fontId="23" fillId="11" borderId="50" numFmtId="0" xfId="0" applyFont="1" applyFill="1" applyBorder="1" applyAlignment="1" quotePrefix="0" pivotButton="0">
      <alignment horizontal="center" vertical="top" wrapText="1"/>
    </xf>
    <xf fontId="24" fillId="12" borderId="51" numFmtId="0" xfId="0" applyFont="1" applyFill="1" applyBorder="1" applyAlignment="1" quotePrefix="0" pivotButton="0">
      <alignment horizontal="left" vertical="top" wrapText="1"/>
    </xf>
    <xf fontId="22" fillId="12" borderId="0" numFmtId="0" xfId="0" applyFont="1" applyFill="1" applyAlignment="1" quotePrefix="0" pivotButton="0">
      <alignment horizontal="center" vertical="top" wrapText="1"/>
    </xf>
    <xf fontId="22" fillId="12" borderId="0" numFmtId="0" xfId="0" applyFont="1" applyFill="1" applyAlignment="1" quotePrefix="0" pivotButton="0">
      <alignment horizontal="left" vertical="top" wrapText="1"/>
    </xf>
    <xf fontId="22" fillId="12" borderId="50" numFmtId="0" xfId="0" applyFont="1" applyFill="1" applyBorder="1" applyAlignment="1" quotePrefix="0" pivotButton="0">
      <alignment horizontal="center" vertical="top" wrapText="1"/>
    </xf>
    <xf fontId="21" fillId="0" borderId="52" numFmtId="0" xfId="0" applyFont="1" applyBorder="1" applyAlignment="1" quotePrefix="0" pivotButton="0">
      <alignment horizontal="left" vertical="top" wrapText="1"/>
    </xf>
    <xf fontId="21" fillId="0" borderId="0" numFmtId="0" xfId="0" applyFont="1" applyAlignment="1" quotePrefix="0" pivotButton="0">
      <alignment horizontal="center" vertical="top" wrapText="1"/>
    </xf>
    <xf fontId="21" fillId="0" borderId="0" numFmtId="0" xfId="0" applyFont="1" applyAlignment="1" quotePrefix="0" pivotButton="0">
      <alignment horizontal="left" vertical="top" wrapText="1"/>
    </xf>
    <xf fontId="21" fillId="0" borderId="50" numFmtId="0" xfId="0" applyFont="1" applyBorder="1" applyAlignment="1" quotePrefix="0" pivotButton="0">
      <alignment horizontal="center" vertical="top" wrapText="1"/>
    </xf>
    <xf fontId="25" fillId="0" borderId="0" numFmtId="0" xfId="0" applyFont="1" applyAlignment="1" quotePrefix="0" pivotButton="0">
      <alignment horizontal="left" vertical="top" wrapText="1"/>
    </xf>
    <xf fontId="26" fillId="0" borderId="0" numFmtId="0" xfId="0" applyFont="1" applyAlignment="1" quotePrefix="0" pivotButton="0">
      <alignment horizontal="center" vertical="top" wrapText="1"/>
    </xf>
    <xf fontId="26" fillId="0" borderId="0" numFmtId="0" xfId="0" applyFont="1" applyAlignment="1" quotePrefix="0" pivotButton="0">
      <alignment horizontal="left" vertical="top" wrapText="1"/>
    </xf>
    <xf fontId="27" fillId="12" borderId="52" numFmtId="0" xfId="0" applyFont="1" applyFill="1" applyBorder="1" applyAlignment="1" quotePrefix="0" pivotButton="0">
      <alignment horizontal="left" vertical="top" wrapText="1"/>
    </xf>
    <xf fontId="21" fillId="12" borderId="0" numFmtId="0" xfId="0" applyFont="1" applyFill="1" applyAlignment="1" quotePrefix="0" pivotButton="0">
      <alignment horizontal="left" vertical="top" wrapText="1"/>
    </xf>
    <xf fontId="21" fillId="12" borderId="50" numFmtId="0" xfId="0" applyFont="1" applyFill="1" applyBorder="1" applyAlignment="1" quotePrefix="0" pivotButton="0">
      <alignment horizontal="center" vertical="top" wrapText="1"/>
    </xf>
    <xf fontId="25" fillId="12" borderId="0" numFmtId="0" xfId="0" applyFont="1" applyFill="1" applyAlignment="1" quotePrefix="0" pivotButton="0">
      <alignment horizontal="left" vertical="top" wrapText="1"/>
    </xf>
    <xf fontId="27" fillId="0" borderId="50" numFmtId="0" xfId="0" applyFont="1" applyBorder="1" applyAlignment="1" quotePrefix="0" pivotButton="0">
      <alignment horizontal="center" vertical="top" wrapText="1"/>
    </xf>
    <xf fontId="21" fillId="12" borderId="0" numFmtId="0" xfId="0" applyFont="1" applyFill="1" applyAlignment="1" quotePrefix="0" pivotButton="0">
      <alignment horizontal="center" vertical="top" wrapText="1"/>
    </xf>
    <xf fontId="21" fillId="12" borderId="50" numFmtId="0" xfId="0" applyFont="1" applyFill="1" applyBorder="1" applyAlignment="1" quotePrefix="0" pivotButton="0">
      <alignment horizontal="left" vertical="top" wrapText="1"/>
    </xf>
    <xf fontId="28" fillId="0" borderId="52" numFmtId="0" xfId="0" applyFont="1" applyBorder="1" applyAlignment="1" quotePrefix="0" pivotButton="0">
      <alignment horizontal="left" vertical="top" wrapText="1"/>
    </xf>
    <xf fontId="28" fillId="0" borderId="53" numFmtId="0" xfId="0" applyFont="1" applyBorder="1" applyAlignment="1" quotePrefix="0" pivotButton="0">
      <alignment horizontal="left" vertical="top" wrapText="1"/>
    </xf>
    <xf fontId="21" fillId="0" borderId="54" numFmtId="0" xfId="0" applyFont="1" applyBorder="1" applyAlignment="1" quotePrefix="0" pivotButton="0">
      <alignment horizontal="center" vertical="top" wrapText="1"/>
    </xf>
    <xf fontId="25" fillId="0" borderId="54" numFmtId="0" xfId="0" applyFont="1" applyBorder="1" applyAlignment="1" quotePrefix="0" pivotButton="0">
      <alignment horizontal="left" vertical="top" wrapText="1"/>
    </xf>
    <xf fontId="21" fillId="0" borderId="55" numFmtId="0" xfId="0" applyFont="1" applyBorder="1" applyAlignment="1" quotePrefix="0" pivotButton="0">
      <alignment horizontal="center" vertical="top" wrapText="1"/>
    </xf>
    <xf fontId="29" fillId="0" borderId="37" numFmtId="0" xfId="0" applyFont="1" applyBorder="1" applyAlignment="1" quotePrefix="0" pivotButton="0">
      <alignment horizontal="left" vertical="top" wrapText="1"/>
    </xf>
    <xf fontId="21" fillId="0" borderId="37" numFmtId="0" xfId="0" applyFont="1" applyBorder="1" applyAlignment="1" quotePrefix="0" pivotButton="0">
      <alignment horizontal="left" vertical="top" wrapText="1"/>
    </xf>
    <xf fontId="21" fillId="0" borderId="56" numFmtId="0" xfId="0" applyFont="1" applyBorder="1" applyAlignment="1" quotePrefix="0" pivotButton="0">
      <alignment horizontal="left" vertical="top" wrapText="1"/>
    </xf>
    <xf fontId="30" fillId="0" borderId="37" numFmtId="0" xfId="0" applyFont="1" applyBorder="1" applyAlignment="1" quotePrefix="0" pivotButton="0">
      <alignment horizontal="left" vertical="top" wrapText="1"/>
    </xf>
    <xf fontId="28" fillId="0" borderId="37" numFmtId="0" xfId="0" applyFont="1" applyBorder="1" applyAlignment="1" quotePrefix="0" pivotButton="0">
      <alignment horizontal="left" vertical="top" wrapText="1"/>
    </xf>
    <xf fontId="2" fillId="5" borderId="1" numFmtId="0" xfId="0" applyFont="1" applyFill="1" applyBorder="1" applyAlignment="1" quotePrefix="0" pivotButton="0">
      <alignment horizontal="center" vertical="top"/>
    </xf>
    <xf fontId="2" fillId="13" borderId="1" numFmtId="0" xfId="0" applyFont="1" applyFill="1" applyBorder="1" applyAlignment="1" quotePrefix="0" pivotButton="0">
      <alignment horizontal="center" vertical="top"/>
    </xf>
    <xf fontId="2" fillId="13" borderId="1" numFmtId="0" xfId="0" applyFont="1" applyFill="1" applyBorder="1" applyAlignment="1" quotePrefix="0" pivotButton="0">
      <alignment horizontal="center" vertical="top" wrapText="1"/>
    </xf>
    <xf fontId="31" fillId="8" borderId="1" numFmtId="0" xfId="0" applyFont="1" applyFill="1" applyBorder="1" applyAlignment="1" quotePrefix="0" pivotButton="0">
      <alignment vertical="top" wrapText="1"/>
    </xf>
    <xf fontId="32" fillId="0" borderId="1" numFmtId="0" xfId="0" applyFont="1" applyBorder="1" applyAlignment="1" quotePrefix="0" pivotButton="0">
      <alignment vertical="top"/>
    </xf>
    <xf fontId="1" fillId="0" borderId="7" numFmtId="0" xfId="0" applyFont="1" applyBorder="1" applyAlignment="1" quotePrefix="0" pivotButton="0">
      <alignment vertical="top" wrapText="1"/>
    </xf>
    <xf fontId="31" fillId="8" borderId="1" numFmtId="0" xfId="0" applyFont="1" applyFill="1" applyBorder="1" applyAlignment="1" quotePrefix="0" pivotButton="0">
      <alignment vertical="top"/>
    </xf>
    <xf fontId="33" fillId="0" borderId="0" numFmtId="0" xfId="0" applyFont="1" applyAlignment="1" quotePrefix="0" pivotButton="0">
      <alignment vertical="top" wrapText="1"/>
    </xf>
    <xf fontId="34" fillId="0" borderId="0" numFmtId="0" xfId="0" applyFont="1" applyAlignment="1" quotePrefix="0" pivotButton="0">
      <alignment vertical="top" wrapText="1"/>
    </xf>
    <xf fontId="35" fillId="0" borderId="0" numFmtId="0" xfId="0" applyFont="1" applyAlignment="1" quotePrefix="0" pivotButton="0">
      <alignment vertical="top" wrapText="1"/>
    </xf>
    <xf fontId="36" fillId="0" borderId="0" numFmtId="0" xfId="0" applyFont="1" applyAlignment="1" quotePrefix="0" pivotButton="0">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1</xdr:col>
      <xdr:colOff>5018616</xdr:colOff>
      <xdr:row>21</xdr:row>
      <xdr:rowOff>1990317</xdr:rowOff>
    </xdr:from>
    <xdr:ext cx="9477374" cy="1256483"/>
    <xdr:pic>
      <xdr:nvPicPr>
        <xdr:cNvPr id="1586214466" name=""/>
        <xdr:cNvPicPr>
          <a:picLocks noChangeAspect="1"/>
        </xdr:cNvPicPr>
      </xdr:nvPicPr>
      <xdr:blipFill rotWithShape="1">
        <a:blip r:embed="rId1"/>
        <a:stretch/>
      </xdr:blipFill>
      <xdr:spPr bwMode="auto">
        <a:xfrm flipH="0" flipV="0">
          <a:off x="5351991" y="8591142"/>
          <a:ext cx="9477374" cy="1256483"/>
        </a:xfrm>
        <a:prstGeom prst="rect">
          <a:avLst/>
        </a:prstGeom>
      </xdr:spPr>
    </xdr:pic>
    <xdr:clientData/>
  </xdr:oneCellAnchor>
  <xdr:oneCellAnchor>
    <xdr:from>
      <xdr:col>10</xdr:col>
      <xdr:colOff>590549</xdr:colOff>
      <xdr:row>21</xdr:row>
      <xdr:rowOff>318679</xdr:rowOff>
    </xdr:from>
    <xdr:ext cx="10075453" cy="1871661"/>
    <xdr:pic>
      <xdr:nvPicPr>
        <xdr:cNvPr id="2006703904" name=""/>
        <xdr:cNvPicPr>
          <a:picLocks noChangeAspect="1"/>
        </xdr:cNvPicPr>
      </xdr:nvPicPr>
      <xdr:blipFill rotWithShape="1">
        <a:blip r:embed="rId2"/>
        <a:stretch/>
      </xdr:blipFill>
      <xdr:spPr bwMode="auto">
        <a:xfrm flipH="0" flipV="0">
          <a:off x="13801724" y="6919504"/>
          <a:ext cx="10075453" cy="1871661"/>
        </a:xfrm>
        <a:prstGeom prst="rect">
          <a:avLst/>
        </a:prstGeom>
      </xdr:spPr>
    </xdr:pic>
    <xdr:clientData/>
  </xdr:oneCellAnchor>
  <xdr:oneCellAnchor>
    <xdr:from>
      <xdr:col>2</xdr:col>
      <xdr:colOff>238124</xdr:colOff>
      <xdr:row>21</xdr:row>
      <xdr:rowOff>371067</xdr:rowOff>
    </xdr:from>
    <xdr:ext cx="5101213" cy="1266824"/>
    <xdr:pic>
      <xdr:nvPicPr>
        <xdr:cNvPr id="663619779" name=""/>
        <xdr:cNvPicPr>
          <a:picLocks noChangeAspect="1"/>
        </xdr:cNvPicPr>
      </xdr:nvPicPr>
      <xdr:blipFill rotWithShape="1">
        <a:blip r:embed="rId3"/>
        <a:stretch/>
      </xdr:blipFill>
      <xdr:spPr bwMode="auto">
        <a:xfrm flipH="0" flipV="0">
          <a:off x="8572499" y="6971892"/>
          <a:ext cx="5101213" cy="1266824"/>
        </a:xfrm>
        <a:prstGeom prst="rect">
          <a:avLst/>
        </a:prstGeom>
      </xdr:spPr>
    </xdr:pic>
    <xdr:clientData/>
  </xdr:oneCellAnchor>
  <xdr:oneCellAnchor>
    <xdr:from>
      <xdr:col>1</xdr:col>
      <xdr:colOff>6819989</xdr:colOff>
      <xdr:row>45</xdr:row>
      <xdr:rowOff>180975</xdr:rowOff>
    </xdr:from>
    <xdr:ext cx="6520348" cy="1619249"/>
    <xdr:pic>
      <xdr:nvPicPr>
        <xdr:cNvPr id="2107674511" name=""/>
        <xdr:cNvPicPr>
          <a:picLocks noChangeAspect="1"/>
        </xdr:cNvPicPr>
      </xdr:nvPicPr>
      <xdr:blipFill rotWithShape="1">
        <a:blip r:embed="rId4"/>
        <a:stretch/>
      </xdr:blipFill>
      <xdr:spPr bwMode="auto">
        <a:xfrm flipH="0" flipV="0">
          <a:off x="7153364" y="17668875"/>
          <a:ext cx="6520348" cy="1619249"/>
        </a:xfrm>
        <a:prstGeom prst="rect">
          <a:avLst/>
        </a:prstGeom>
      </xdr:spPr>
    </xdr:pic>
    <xdr:clientData/>
  </xdr:oneCellAnchor>
  <xdr:oneCellAnchor>
    <xdr:from>
      <xdr:col>1</xdr:col>
      <xdr:colOff>3263303</xdr:colOff>
      <xdr:row>45</xdr:row>
      <xdr:rowOff>1800224</xdr:rowOff>
    </xdr:from>
    <xdr:ext cx="6865543" cy="1704974"/>
    <xdr:pic>
      <xdr:nvPicPr>
        <xdr:cNvPr id="732590631" name=""/>
        <xdr:cNvPicPr>
          <a:picLocks noChangeAspect="1"/>
        </xdr:cNvPicPr>
      </xdr:nvPicPr>
      <xdr:blipFill rotWithShape="1">
        <a:blip r:embed="rId5"/>
        <a:stretch/>
      </xdr:blipFill>
      <xdr:spPr bwMode="auto">
        <a:xfrm flipH="0" flipV="0">
          <a:off x="3596677" y="19078574"/>
          <a:ext cx="6865543" cy="1704974"/>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ColWidth="14.43" defaultRowHeight="15" customHeight="1"/>
  <cols>
    <col customWidth="1" min="1" max="1" style="1" width="9.1400000000000006"/>
    <col customWidth="1" min="2" max="2" style="1" width="84.140000000000001"/>
    <col customWidth="1" min="3" max="3" style="1" width="42.859999999999999"/>
    <col customWidth="1" min="4" max="4" style="1" width="56.859999999999999"/>
    <col customWidth="1" min="5" max="24" style="1" width="9.1400000000000006"/>
    <col customWidth="1" min="25" max="26" style="1" width="8.7100000000000009"/>
    <col customWidth="1" min="27" max="16384" style="1" width="14.43"/>
  </cols>
  <sheetData>
    <row r="1" ht="25.5" customHeight="1">
      <c r="A1" s="2"/>
      <c r="B1" s="2"/>
      <c r="C1" s="3" t="s">
        <v>0</v>
      </c>
      <c r="E1" s="4"/>
      <c r="F1" s="4"/>
      <c r="G1" s="4"/>
      <c r="H1" s="4"/>
      <c r="I1" s="4"/>
      <c r="J1" s="4"/>
      <c r="K1" s="4"/>
      <c r="L1" s="4"/>
      <c r="M1" s="4"/>
      <c r="N1" s="4"/>
      <c r="O1" s="4"/>
      <c r="P1" s="4"/>
      <c r="Q1" s="4"/>
      <c r="R1" s="4"/>
      <c r="S1" s="4"/>
      <c r="T1" s="4"/>
      <c r="U1" s="4"/>
      <c r="V1" s="4"/>
      <c r="W1" s="4"/>
      <c r="X1" s="4"/>
      <c r="Y1" s="4"/>
      <c r="Z1" s="4"/>
    </row>
    <row r="2" ht="72" customHeight="1">
      <c r="A2" s="2"/>
      <c r="B2" s="2"/>
      <c r="C2" s="5" t="s">
        <v>1</v>
      </c>
      <c r="E2" s="4"/>
      <c r="F2" s="4"/>
      <c r="Y2" s="4"/>
      <c r="Z2" s="4"/>
    </row>
    <row r="3" ht="14.25" customHeight="1">
      <c r="A3" s="2"/>
      <c r="B3" s="2"/>
      <c r="C3" s="2"/>
      <c r="D3" s="2"/>
      <c r="E3" s="4"/>
      <c r="Y3" s="4"/>
      <c r="Z3" s="4"/>
    </row>
    <row r="4" ht="16.5" customHeight="1">
      <c r="A4" s="2"/>
      <c r="B4" s="6" t="s">
        <v>2</v>
      </c>
      <c r="C4" s="2"/>
      <c r="D4" s="2"/>
      <c r="E4" s="4"/>
      <c r="Y4" s="4"/>
      <c r="Z4" s="4"/>
    </row>
    <row r="5" ht="76.5" customHeight="1">
      <c r="A5" s="2"/>
      <c r="B5" s="2" t="s">
        <v>3</v>
      </c>
      <c r="D5" s="2"/>
      <c r="E5" s="4"/>
      <c r="Y5" s="4"/>
      <c r="Z5" s="4"/>
    </row>
    <row r="6" ht="213.75" customHeight="1">
      <c r="A6" s="2"/>
      <c r="B6" s="2" t="s">
        <v>4</v>
      </c>
      <c r="D6" s="2"/>
      <c r="E6" s="4"/>
      <c r="Y6" s="4"/>
      <c r="Z6" s="4"/>
    </row>
    <row r="7" ht="14.25" customHeight="1">
      <c r="A7" s="2"/>
      <c r="B7" s="2"/>
      <c r="C7" s="2"/>
      <c r="D7" s="2"/>
      <c r="E7" s="4"/>
      <c r="Y7" s="4"/>
      <c r="Z7" s="4"/>
    </row>
    <row r="8" ht="16.5" customHeight="1">
      <c r="A8" s="2"/>
      <c r="B8" s="6" t="s">
        <v>5</v>
      </c>
      <c r="C8" s="2"/>
      <c r="D8" s="2"/>
      <c r="E8" s="4"/>
      <c r="Y8" s="4"/>
      <c r="Z8" s="4"/>
    </row>
    <row r="9" ht="409.5" customHeight="1">
      <c r="A9" s="2"/>
      <c r="B9" s="2" t="s">
        <v>6</v>
      </c>
      <c r="C9" s="4"/>
      <c r="D9" s="2"/>
      <c r="E9" s="4"/>
      <c r="Y9" s="4"/>
      <c r="Z9" s="4"/>
    </row>
    <row r="10" ht="14.25" customHeight="1">
      <c r="A10" s="2"/>
      <c r="B10" s="2"/>
      <c r="C10" s="2"/>
      <c r="D10" s="2"/>
      <c r="E10" s="4"/>
      <c r="F10" s="4"/>
      <c r="G10" s="4"/>
      <c r="H10" s="4"/>
      <c r="I10" s="4"/>
      <c r="J10" s="4"/>
      <c r="K10" s="4"/>
      <c r="L10" s="4"/>
      <c r="M10" s="4"/>
      <c r="N10" s="4"/>
      <c r="O10" s="4"/>
      <c r="P10" s="4"/>
      <c r="Q10" s="4"/>
      <c r="R10" s="4"/>
      <c r="S10" s="4"/>
      <c r="T10" s="4"/>
      <c r="U10" s="4"/>
      <c r="V10" s="4"/>
      <c r="W10" s="4"/>
      <c r="X10" s="4"/>
      <c r="Y10" s="4"/>
      <c r="Z10" s="4"/>
    </row>
    <row r="11" ht="16.5" customHeight="1">
      <c r="A11" s="2"/>
      <c r="B11" s="6" t="s">
        <v>7</v>
      </c>
      <c r="C11" s="2"/>
      <c r="D11" s="2"/>
      <c r="E11" s="4"/>
      <c r="F11" s="4"/>
      <c r="G11" s="4"/>
      <c r="H11" s="4"/>
      <c r="I11" s="4"/>
      <c r="J11" s="4"/>
      <c r="K11" s="4"/>
      <c r="L11" s="4"/>
      <c r="M11" s="4"/>
      <c r="N11" s="4"/>
      <c r="O11" s="4"/>
      <c r="P11" s="4"/>
      <c r="Q11" s="4"/>
      <c r="R11" s="4"/>
      <c r="S11" s="4"/>
      <c r="T11" s="4"/>
      <c r="U11" s="4"/>
      <c r="V11" s="4"/>
      <c r="W11" s="4"/>
      <c r="X11" s="4"/>
      <c r="Y11" s="4"/>
      <c r="Z11" s="4"/>
    </row>
    <row r="12" ht="54.75" customHeight="1">
      <c r="A12" s="2"/>
      <c r="B12" s="2" t="s">
        <v>8</v>
      </c>
      <c r="D12" s="2"/>
      <c r="E12" s="4"/>
      <c r="F12" s="4"/>
      <c r="G12" s="4"/>
      <c r="H12" s="4"/>
      <c r="I12" s="4"/>
      <c r="J12" s="4"/>
      <c r="K12" s="4"/>
      <c r="L12" s="4"/>
      <c r="M12" s="4"/>
      <c r="N12" s="4"/>
      <c r="O12" s="4"/>
      <c r="P12" s="4"/>
      <c r="Q12" s="4"/>
      <c r="R12" s="4"/>
      <c r="S12" s="4"/>
      <c r="T12" s="4"/>
      <c r="U12" s="4"/>
      <c r="V12" s="4"/>
      <c r="W12" s="4"/>
      <c r="X12" s="4"/>
      <c r="Y12" s="4"/>
      <c r="Z12" s="4"/>
    </row>
    <row r="13" ht="16.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6.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6.5" customHeight="1">
      <c r="A15" s="4"/>
      <c r="B15" s="6" t="s">
        <v>9</v>
      </c>
      <c r="C15" s="2"/>
      <c r="D15" s="4"/>
      <c r="E15" s="4"/>
      <c r="F15" s="4"/>
      <c r="G15" s="4"/>
      <c r="H15" s="4"/>
      <c r="I15" s="4"/>
      <c r="J15" s="4"/>
      <c r="K15" s="4"/>
      <c r="L15" s="4"/>
      <c r="M15" s="4"/>
      <c r="N15" s="4"/>
      <c r="O15" s="4"/>
      <c r="P15" s="4"/>
      <c r="Q15" s="4"/>
      <c r="R15" s="4"/>
      <c r="S15" s="4"/>
      <c r="T15" s="4"/>
      <c r="U15" s="4"/>
      <c r="V15" s="4"/>
      <c r="W15" s="4"/>
      <c r="X15" s="4"/>
      <c r="Y15" s="4"/>
      <c r="Z15" s="4"/>
    </row>
    <row r="16" ht="26.25" customHeight="1">
      <c r="A16" s="4"/>
      <c r="B16" s="2" t="s">
        <v>10</v>
      </c>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2"/>
      <c r="C17" s="2"/>
      <c r="D17" s="4"/>
      <c r="E17" s="4"/>
      <c r="F17" s="4"/>
      <c r="G17" s="4"/>
      <c r="H17" s="4"/>
      <c r="I17" s="4"/>
      <c r="J17" s="4"/>
      <c r="K17" s="4"/>
      <c r="L17" s="4"/>
      <c r="M17" s="4"/>
      <c r="N17" s="4"/>
      <c r="O17" s="4"/>
      <c r="P17" s="4"/>
      <c r="Q17" s="4"/>
      <c r="R17" s="4"/>
      <c r="S17" s="4"/>
      <c r="T17" s="4"/>
      <c r="U17" s="4"/>
      <c r="V17" s="4"/>
      <c r="W17" s="4"/>
      <c r="X17" s="4"/>
      <c r="Y17" s="4"/>
      <c r="Z17" s="4"/>
    </row>
    <row r="18" ht="16.5" customHeight="1">
      <c r="A18" s="4"/>
      <c r="B18" s="6" t="s">
        <v>11</v>
      </c>
      <c r="C18" s="2"/>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2" t="s">
        <v>12</v>
      </c>
      <c r="D19" s="4"/>
      <c r="E19" s="4"/>
      <c r="F19" s="4"/>
      <c r="G19" s="4"/>
      <c r="H19" s="4"/>
      <c r="I19" s="4"/>
      <c r="J19" s="4"/>
      <c r="K19" s="4"/>
      <c r="L19" s="4"/>
      <c r="M19" s="4"/>
      <c r="N19" s="4"/>
      <c r="O19" s="4"/>
      <c r="P19" s="4"/>
      <c r="Q19" s="4"/>
      <c r="R19" s="4"/>
      <c r="S19" s="4"/>
      <c r="T19" s="4"/>
      <c r="U19" s="4"/>
      <c r="V19" s="4"/>
      <c r="W19" s="4"/>
      <c r="X19" s="4"/>
      <c r="Y19" s="4"/>
      <c r="Z19" s="4"/>
    </row>
    <row r="20" ht="16.5" customHeight="1">
      <c r="A20" s="4"/>
      <c r="B20" s="7" t="s">
        <v>13</v>
      </c>
      <c r="C20" s="7"/>
      <c r="D20" s="4" t="s">
        <v>14</v>
      </c>
      <c r="E20" s="4"/>
      <c r="F20" s="4"/>
      <c r="G20" s="4"/>
      <c r="H20" s="4"/>
      <c r="I20" s="4"/>
      <c r="J20" s="4"/>
      <c r="K20" s="4"/>
      <c r="L20" s="4"/>
      <c r="M20" s="4"/>
      <c r="N20" s="4"/>
      <c r="O20" s="4"/>
      <c r="P20" s="4"/>
      <c r="Q20" s="4"/>
      <c r="R20" s="4"/>
      <c r="S20" s="4"/>
      <c r="T20" s="4"/>
      <c r="U20" s="4"/>
      <c r="V20" s="4"/>
      <c r="W20" s="4"/>
      <c r="X20" s="4"/>
      <c r="Y20" s="4"/>
      <c r="Z20" s="4"/>
    </row>
    <row r="21" ht="84" customHeight="1">
      <c r="A21" s="4"/>
      <c r="B21" s="8" t="s">
        <v>15</v>
      </c>
      <c r="C21" s="9"/>
      <c r="D21" s="4" t="s">
        <v>16</v>
      </c>
      <c r="E21" s="4"/>
      <c r="F21" s="4"/>
      <c r="G21" s="4"/>
      <c r="H21" s="4"/>
      <c r="I21" s="4"/>
      <c r="J21" s="4"/>
      <c r="K21" s="4"/>
      <c r="L21" s="4"/>
      <c r="M21" s="4"/>
      <c r="N21" s="4"/>
      <c r="O21" s="4"/>
      <c r="P21" s="4"/>
      <c r="Q21" s="4"/>
      <c r="R21" s="4"/>
      <c r="S21" s="4"/>
      <c r="T21" s="4"/>
      <c r="U21" s="4"/>
      <c r="V21" s="4"/>
      <c r="W21" s="4"/>
      <c r="X21" s="4"/>
      <c r="Y21" s="4"/>
      <c r="Z21" s="4"/>
    </row>
    <row r="22" ht="14.25" customHeight="1">
      <c r="A22" s="4"/>
      <c r="B22" s="2"/>
      <c r="C22" s="2"/>
      <c r="D22" s="4"/>
      <c r="E22" s="4"/>
      <c r="F22" s="4"/>
      <c r="G22" s="4"/>
      <c r="H22" s="4"/>
      <c r="I22" s="4"/>
      <c r="J22" s="4"/>
      <c r="K22" s="4"/>
      <c r="L22" s="4"/>
      <c r="M22" s="4"/>
      <c r="N22" s="4"/>
      <c r="O22" s="4"/>
      <c r="P22" s="4"/>
      <c r="Q22" s="4"/>
      <c r="R22" s="4"/>
      <c r="S22" s="4"/>
      <c r="T22" s="4"/>
      <c r="U22" s="4"/>
      <c r="V22" s="4"/>
      <c r="W22" s="4"/>
      <c r="X22" s="4"/>
      <c r="Y22" s="4"/>
      <c r="Z22" s="4"/>
    </row>
    <row r="23" ht="16.5" customHeight="1">
      <c r="A23" s="4"/>
      <c r="B23" s="6" t="s">
        <v>17</v>
      </c>
      <c r="C23" s="2"/>
      <c r="D23" s="4"/>
      <c r="E23" s="4"/>
      <c r="F23" s="4"/>
      <c r="G23" s="4"/>
      <c r="H23" s="4"/>
      <c r="I23" s="4"/>
      <c r="J23" s="4"/>
      <c r="K23" s="4"/>
      <c r="L23" s="4"/>
      <c r="M23" s="4"/>
      <c r="N23" s="4"/>
      <c r="O23" s="4"/>
      <c r="P23" s="4"/>
      <c r="Q23" s="4"/>
      <c r="R23" s="4"/>
      <c r="S23" s="4"/>
      <c r="T23" s="4"/>
      <c r="U23" s="4"/>
      <c r="V23" s="4"/>
      <c r="W23" s="4"/>
      <c r="X23" s="4"/>
      <c r="Y23" s="4"/>
      <c r="Z23" s="4"/>
    </row>
    <row r="24" ht="16.5" customHeight="1">
      <c r="A24" s="4"/>
      <c r="B24" s="7" t="s">
        <v>13</v>
      </c>
      <c r="C24" s="7"/>
      <c r="D24" s="4" t="s">
        <v>14</v>
      </c>
      <c r="E24" s="4"/>
      <c r="F24" s="4"/>
      <c r="G24" s="4"/>
      <c r="H24" s="4"/>
      <c r="I24" s="4"/>
      <c r="J24" s="4"/>
      <c r="K24" s="4"/>
      <c r="L24" s="4"/>
      <c r="M24" s="4"/>
      <c r="N24" s="4"/>
      <c r="O24" s="4"/>
      <c r="P24" s="4"/>
      <c r="Q24" s="4"/>
      <c r="R24" s="4"/>
      <c r="S24" s="4"/>
      <c r="T24" s="4"/>
      <c r="U24" s="4"/>
      <c r="V24" s="4"/>
      <c r="W24" s="4"/>
      <c r="X24" s="4"/>
      <c r="Y24" s="4"/>
      <c r="Z24" s="4"/>
    </row>
    <row r="25" ht="165.75" customHeight="1">
      <c r="A25" s="4"/>
      <c r="B25" s="8" t="s">
        <v>18</v>
      </c>
      <c r="C25" s="8"/>
      <c r="D25" s="4" t="s">
        <v>19</v>
      </c>
      <c r="E25" s="4"/>
      <c r="F25" s="4"/>
      <c r="G25" s="4"/>
      <c r="H25" s="4"/>
      <c r="I25" s="4"/>
      <c r="J25" s="4"/>
      <c r="K25" s="4"/>
      <c r="L25" s="4"/>
      <c r="M25" s="4"/>
      <c r="N25" s="4"/>
      <c r="O25" s="4"/>
      <c r="P25" s="4"/>
      <c r="Q25" s="4"/>
      <c r="R25" s="4"/>
      <c r="S25" s="4"/>
      <c r="T25" s="4"/>
      <c r="U25" s="4"/>
      <c r="V25" s="4"/>
      <c r="W25" s="4"/>
      <c r="X25" s="4"/>
      <c r="Y25" s="4"/>
      <c r="Z25" s="4"/>
    </row>
    <row r="26" ht="14.25" customHeight="1">
      <c r="A26" s="4"/>
      <c r="B26" s="2"/>
      <c r="C26" s="2"/>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6" t="s">
        <v>20</v>
      </c>
      <c r="C27" s="2"/>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7" t="s">
        <v>13</v>
      </c>
      <c r="C28" s="7"/>
      <c r="D28" s="4" t="s">
        <v>14</v>
      </c>
      <c r="E28" s="4"/>
      <c r="F28" s="4"/>
      <c r="G28" s="4"/>
      <c r="H28" s="4"/>
      <c r="I28" s="4"/>
      <c r="J28" s="4"/>
      <c r="K28" s="4"/>
      <c r="L28" s="4"/>
      <c r="M28" s="4"/>
      <c r="N28" s="4"/>
      <c r="O28" s="4"/>
      <c r="P28" s="4"/>
      <c r="Q28" s="4"/>
      <c r="R28" s="4"/>
      <c r="S28" s="4"/>
      <c r="T28" s="4"/>
      <c r="U28" s="4"/>
      <c r="V28" s="4"/>
      <c r="W28" s="4"/>
      <c r="X28" s="4"/>
      <c r="Y28" s="4"/>
      <c r="Z28" s="4"/>
    </row>
    <row r="29" ht="238.5" customHeight="1">
      <c r="A29" s="4"/>
      <c r="B29" s="8" t="s">
        <v>21</v>
      </c>
      <c r="C29" s="8"/>
      <c r="D29" s="4" t="s">
        <v>22</v>
      </c>
      <c r="E29" s="4"/>
      <c r="F29" s="4"/>
      <c r="G29" s="4"/>
      <c r="H29" s="4"/>
      <c r="I29" s="4"/>
      <c r="J29" s="4"/>
      <c r="K29" s="4"/>
      <c r="L29" s="4"/>
      <c r="M29" s="4"/>
      <c r="N29" s="4"/>
      <c r="O29" s="4"/>
      <c r="P29" s="4"/>
      <c r="Q29" s="4"/>
      <c r="R29" s="4"/>
      <c r="S29" s="4"/>
      <c r="T29" s="4"/>
      <c r="U29" s="4"/>
      <c r="V29" s="4"/>
      <c r="W29" s="4"/>
      <c r="X29" s="4"/>
      <c r="Y29" s="4"/>
      <c r="Z29" s="4"/>
    </row>
    <row r="30" ht="14.25" customHeight="1">
      <c r="A30" s="4"/>
      <c r="B30" s="2"/>
      <c r="C30" s="2"/>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6" t="s">
        <v>23</v>
      </c>
      <c r="C31" s="2"/>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7" t="s">
        <v>13</v>
      </c>
      <c r="C32" s="7"/>
      <c r="D32" s="4" t="s">
        <v>14</v>
      </c>
      <c r="E32" s="4"/>
      <c r="F32" s="4"/>
      <c r="G32" s="4"/>
      <c r="H32" s="4"/>
      <c r="I32" s="4"/>
      <c r="J32" s="4"/>
      <c r="K32" s="4"/>
      <c r="L32" s="4"/>
      <c r="M32" s="4"/>
      <c r="N32" s="4"/>
      <c r="O32" s="4"/>
      <c r="P32" s="4"/>
      <c r="Q32" s="4"/>
      <c r="R32" s="4"/>
      <c r="S32" s="4"/>
      <c r="T32" s="4"/>
      <c r="U32" s="4"/>
      <c r="V32" s="4"/>
      <c r="W32" s="4"/>
      <c r="X32" s="4"/>
      <c r="Y32" s="4"/>
      <c r="Z32" s="4"/>
    </row>
    <row r="33" ht="254.25" customHeight="1">
      <c r="A33" s="4"/>
      <c r="B33" s="8" t="s">
        <v>24</v>
      </c>
      <c r="C33" s="8"/>
      <c r="D33" s="4" t="s">
        <v>25</v>
      </c>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6" t="s">
        <v>26</v>
      </c>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7" t="s">
        <v>13</v>
      </c>
      <c r="C36" s="7"/>
      <c r="D36" s="4" t="s">
        <v>14</v>
      </c>
      <c r="E36" s="4"/>
      <c r="F36" s="4"/>
      <c r="G36" s="4"/>
      <c r="H36" s="4"/>
      <c r="I36" s="4"/>
      <c r="J36" s="4"/>
      <c r="K36" s="4"/>
      <c r="L36" s="4"/>
      <c r="M36" s="4"/>
      <c r="N36" s="4"/>
      <c r="O36" s="4"/>
      <c r="P36" s="4"/>
      <c r="Q36" s="4"/>
      <c r="R36" s="4"/>
      <c r="S36" s="4"/>
      <c r="T36" s="4"/>
      <c r="U36" s="4"/>
      <c r="V36" s="4"/>
      <c r="W36" s="4"/>
      <c r="X36" s="4"/>
      <c r="Y36" s="4"/>
      <c r="Z36" s="4"/>
    </row>
    <row r="37" ht="337.5" customHeight="1">
      <c r="A37" s="4"/>
      <c r="B37" s="8" t="s">
        <v>27</v>
      </c>
      <c r="C37" s="8"/>
      <c r="D37" s="4" t="s">
        <v>28</v>
      </c>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6" t="s">
        <v>29</v>
      </c>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7" t="s">
        <v>13</v>
      </c>
      <c r="C40" s="7"/>
      <c r="D40" s="4" t="s">
        <v>14</v>
      </c>
      <c r="E40" s="4"/>
      <c r="F40" s="4"/>
      <c r="G40" s="4"/>
      <c r="H40" s="4"/>
      <c r="I40" s="4"/>
      <c r="J40" s="4"/>
      <c r="K40" s="4"/>
      <c r="L40" s="4"/>
      <c r="M40" s="4"/>
      <c r="N40" s="4"/>
      <c r="O40" s="4"/>
      <c r="P40" s="4"/>
      <c r="Q40" s="4"/>
      <c r="R40" s="4"/>
      <c r="S40" s="4"/>
      <c r="T40" s="4"/>
      <c r="U40" s="4"/>
      <c r="V40" s="4"/>
      <c r="W40" s="4"/>
      <c r="X40" s="4"/>
      <c r="Y40" s="4"/>
      <c r="Z40" s="4"/>
    </row>
    <row r="41" ht="150" customHeight="1">
      <c r="A41" s="4"/>
      <c r="B41" s="8" t="s">
        <v>30</v>
      </c>
      <c r="C41" s="8"/>
      <c r="D41" s="4" t="s">
        <v>31</v>
      </c>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6" t="s">
        <v>32</v>
      </c>
      <c r="E43" s="4"/>
      <c r="F43" s="4"/>
      <c r="G43" s="4"/>
      <c r="H43" s="4"/>
      <c r="I43" s="4"/>
      <c r="J43" s="4"/>
      <c r="K43" s="4"/>
      <c r="L43" s="4"/>
      <c r="M43" s="4"/>
      <c r="N43" s="4"/>
      <c r="O43" s="4"/>
      <c r="P43" s="4"/>
      <c r="Q43" s="4"/>
      <c r="R43" s="4"/>
      <c r="S43" s="4"/>
      <c r="T43" s="4"/>
      <c r="U43" s="4"/>
      <c r="V43" s="4"/>
      <c r="W43" s="4"/>
      <c r="X43" s="4"/>
      <c r="Y43" s="4"/>
      <c r="Z43" s="4"/>
    </row>
    <row r="44" ht="16.5" customHeight="1">
      <c r="A44" s="4"/>
      <c r="B44" s="7" t="s">
        <v>13</v>
      </c>
      <c r="C44" s="9"/>
      <c r="D44" s="4" t="s">
        <v>14</v>
      </c>
      <c r="E44" s="4"/>
      <c r="F44" s="4"/>
      <c r="G44" s="4"/>
      <c r="H44" s="4"/>
      <c r="I44" s="4"/>
      <c r="J44" s="4"/>
      <c r="K44" s="4"/>
      <c r="L44" s="4"/>
      <c r="M44" s="4"/>
      <c r="N44" s="4"/>
      <c r="O44" s="4"/>
      <c r="P44" s="4"/>
      <c r="Q44" s="4"/>
      <c r="R44" s="4"/>
      <c r="S44" s="4"/>
      <c r="T44" s="4"/>
      <c r="U44" s="4"/>
      <c r="V44" s="4"/>
      <c r="W44" s="4"/>
      <c r="X44" s="4"/>
      <c r="Y44" s="4"/>
      <c r="Z44" s="4"/>
    </row>
    <row r="45" ht="100" customHeight="1">
      <c r="A45" s="4"/>
      <c r="B45" s="8" t="s">
        <v>33</v>
      </c>
      <c r="C45" s="9"/>
      <c r="D45" s="4" t="s">
        <v>34</v>
      </c>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6" t="s">
        <v>35</v>
      </c>
      <c r="E47" s="4"/>
      <c r="F47" s="4"/>
      <c r="G47" s="4"/>
      <c r="H47" s="4"/>
      <c r="I47" s="4"/>
      <c r="J47" s="4"/>
      <c r="K47" s="4"/>
      <c r="L47" s="4"/>
      <c r="M47" s="4"/>
      <c r="N47" s="4"/>
      <c r="O47" s="4"/>
      <c r="P47" s="4"/>
      <c r="Q47" s="4"/>
      <c r="R47" s="4"/>
      <c r="S47" s="4"/>
      <c r="T47" s="4"/>
      <c r="U47" s="4"/>
      <c r="V47" s="4"/>
      <c r="W47" s="4"/>
      <c r="X47" s="4"/>
      <c r="Y47" s="4"/>
      <c r="Z47" s="4"/>
    </row>
    <row r="48" ht="16.5" customHeight="1">
      <c r="A48" s="4"/>
      <c r="B48" s="7" t="s">
        <v>13</v>
      </c>
      <c r="C48" s="9"/>
      <c r="D48" s="4" t="s">
        <v>14</v>
      </c>
      <c r="E48" s="4"/>
      <c r="F48" s="4"/>
      <c r="G48" s="4"/>
      <c r="H48" s="4"/>
      <c r="I48" s="4"/>
      <c r="J48" s="4"/>
      <c r="K48" s="4"/>
      <c r="L48" s="4"/>
      <c r="M48" s="4"/>
      <c r="N48" s="4"/>
      <c r="O48" s="4"/>
      <c r="P48" s="4"/>
      <c r="Q48" s="4"/>
      <c r="R48" s="4"/>
      <c r="S48" s="4"/>
      <c r="T48" s="4"/>
      <c r="U48" s="4"/>
      <c r="V48" s="4"/>
      <c r="W48" s="4"/>
      <c r="X48" s="4"/>
      <c r="Y48" s="4"/>
      <c r="Z48" s="4"/>
    </row>
    <row r="49" ht="100" customHeight="1">
      <c r="A49" s="4"/>
      <c r="B49" s="8" t="s">
        <v>36</v>
      </c>
      <c r="C49" s="9"/>
      <c r="D49" s="4" t="s">
        <v>37</v>
      </c>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6" t="s">
        <v>38</v>
      </c>
      <c r="E51" s="4"/>
      <c r="F51" s="4"/>
      <c r="G51" s="4"/>
      <c r="H51" s="4"/>
      <c r="I51" s="4"/>
      <c r="J51" s="4"/>
      <c r="K51" s="4"/>
      <c r="L51" s="4"/>
      <c r="M51" s="4"/>
      <c r="N51" s="4"/>
      <c r="O51" s="4"/>
      <c r="P51" s="4"/>
      <c r="Q51" s="4"/>
      <c r="R51" s="4"/>
      <c r="S51" s="4"/>
      <c r="T51" s="4"/>
      <c r="U51" s="4"/>
      <c r="V51" s="4"/>
      <c r="W51" s="4"/>
      <c r="X51" s="4"/>
      <c r="Y51" s="4"/>
      <c r="Z51" s="4"/>
    </row>
    <row r="52" ht="16.5" customHeight="1">
      <c r="A52" s="4"/>
      <c r="B52" s="7" t="s">
        <v>13</v>
      </c>
      <c r="C52" s="9"/>
      <c r="D52" s="4" t="s">
        <v>14</v>
      </c>
      <c r="E52" s="4"/>
      <c r="F52" s="4"/>
      <c r="G52" s="4"/>
      <c r="H52" s="4"/>
      <c r="I52" s="4"/>
      <c r="J52" s="4"/>
      <c r="K52" s="4"/>
      <c r="L52" s="4"/>
      <c r="M52" s="4"/>
      <c r="N52" s="4"/>
      <c r="O52" s="4"/>
      <c r="P52" s="4"/>
      <c r="Q52" s="4"/>
      <c r="R52" s="4"/>
      <c r="S52" s="4"/>
      <c r="T52" s="4"/>
      <c r="U52" s="4"/>
      <c r="V52" s="4"/>
      <c r="W52" s="4"/>
      <c r="X52" s="4"/>
      <c r="Y52" s="4"/>
      <c r="Z52" s="4"/>
    </row>
    <row r="53" ht="100" customHeight="1">
      <c r="A53" s="4"/>
      <c r="B53" s="8" t="s">
        <v>39</v>
      </c>
      <c r="C53" s="9"/>
      <c r="D53" s="4" t="s">
        <v>40</v>
      </c>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8">
    <mergeCell ref="B6:C6"/>
    <mergeCell ref="B21:C21"/>
    <mergeCell ref="B48:C48"/>
    <mergeCell ref="B16:C16"/>
    <mergeCell ref="B44:C44"/>
    <mergeCell ref="C2:D2"/>
    <mergeCell ref="B52:C52"/>
    <mergeCell ref="C1:D1"/>
    <mergeCell ref="B47:D47"/>
    <mergeCell ref="B5:C5"/>
    <mergeCell ref="B19:C19"/>
    <mergeCell ref="B45:C45"/>
    <mergeCell ref="F2:X9"/>
    <mergeCell ref="B43:D43"/>
    <mergeCell ref="B49:C49"/>
    <mergeCell ref="B53:C53"/>
    <mergeCell ref="B51:D51"/>
    <mergeCell ref="B12:C12"/>
  </mergeCells>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81" zoomScale="100" workbookViewId="0">
      <selection activeCell="A1" activeCellId="0" sqref="A1"/>
    </sheetView>
  </sheetViews>
  <sheetFormatPr baseColWidth="8" defaultColWidth="14.43" defaultRowHeight="15" customHeight="1"/>
  <cols>
    <col customWidth="1" min="1" max="2" width="9.1400000000000006"/>
    <col customWidth="1" min="3" max="3" width="15"/>
    <col customWidth="1" min="4" max="4" width="12.859999999999999"/>
    <col customWidth="1" min="5" max="5" width="14.140000000000001"/>
    <col customWidth="1" min="6" max="6" width="16.859999999999999"/>
    <col customWidth="1" min="7" max="7" width="11.289999999999999"/>
    <col customWidth="1" min="8" max="8" width="21.859999999999999"/>
    <col customWidth="1" min="9" max="9" width="7.71"/>
    <col customWidth="1" min="10" max="10" width="19.140000000000001"/>
    <col customWidth="1" min="11" max="11" width="24.43"/>
    <col customWidth="1" min="12" max="12" width="25.43"/>
    <col customWidth="1" min="13" max="13" width="21.710000000000001"/>
    <col customWidth="1" min="14" max="14" width="12.140000000000001"/>
    <col customWidth="1" min="15" max="15" width="79.421875"/>
    <col customWidth="1" min="16" max="17" width="9.1400000000000006"/>
    <col customWidth="1" min="18" max="26" width="8.7100000000000009"/>
  </cols>
  <sheetData>
    <row r="1" ht="16.5" customHeight="1">
      <c r="A1" s="4"/>
      <c r="B1" s="4"/>
      <c r="C1" s="4"/>
      <c r="D1" s="4"/>
      <c r="E1" s="4"/>
      <c r="F1" s="4"/>
      <c r="G1" s="4"/>
      <c r="H1" s="4"/>
      <c r="I1" s="4"/>
      <c r="J1" s="4"/>
      <c r="K1" s="4"/>
      <c r="L1" s="4"/>
      <c r="M1" s="4"/>
      <c r="N1" s="4"/>
      <c r="O1" s="4"/>
      <c r="P1" s="4"/>
      <c r="Q1" s="4"/>
      <c r="R1" s="4"/>
      <c r="S1" s="4"/>
      <c r="T1" s="4"/>
      <c r="U1" s="4"/>
      <c r="V1" s="4"/>
      <c r="W1" s="4"/>
      <c r="X1" s="4"/>
      <c r="Y1" s="4"/>
      <c r="Z1" s="4"/>
    </row>
    <row r="2" ht="16.5" customHeight="1">
      <c r="A2" s="4"/>
      <c r="B2" s="4"/>
      <c r="C2" s="4"/>
      <c r="D2" s="4"/>
      <c r="E2" s="4"/>
      <c r="F2" s="4"/>
      <c r="G2" s="4"/>
      <c r="H2" s="4"/>
      <c r="I2" s="4"/>
      <c r="J2" s="4"/>
      <c r="K2" s="4"/>
      <c r="L2" s="4"/>
      <c r="M2" s="4"/>
      <c r="N2" s="4"/>
      <c r="O2" s="4"/>
      <c r="P2" s="4"/>
      <c r="Q2" s="4"/>
      <c r="R2" s="4"/>
      <c r="S2" s="4"/>
      <c r="T2" s="4"/>
      <c r="U2" s="4"/>
      <c r="V2" s="4"/>
      <c r="W2" s="4"/>
      <c r="X2" s="4"/>
      <c r="Y2" s="4"/>
      <c r="Z2" s="4"/>
    </row>
    <row r="3" ht="16.5" customHeight="1">
      <c r="A3" s="4"/>
      <c r="B3" s="4"/>
      <c r="C3" s="4"/>
      <c r="D3" s="4"/>
      <c r="E3" s="4"/>
      <c r="F3" s="4"/>
      <c r="G3" s="4"/>
      <c r="H3" s="4"/>
      <c r="I3" s="4"/>
      <c r="J3" s="4"/>
      <c r="K3" s="4"/>
      <c r="L3" s="4"/>
      <c r="M3" s="4"/>
      <c r="N3" s="4"/>
      <c r="O3" s="4"/>
      <c r="P3" s="4"/>
      <c r="Q3" s="4"/>
      <c r="R3" s="4"/>
      <c r="S3" s="4"/>
      <c r="T3" s="4"/>
      <c r="U3" s="4"/>
      <c r="V3" s="4"/>
      <c r="W3" s="4"/>
      <c r="X3" s="4"/>
      <c r="Y3" s="4"/>
      <c r="Z3" s="4"/>
    </row>
    <row r="4" ht="16.5" customHeight="1">
      <c r="A4" s="4"/>
      <c r="B4" s="4"/>
      <c r="C4" s="4"/>
      <c r="D4" s="4"/>
      <c r="E4" s="4"/>
      <c r="F4" s="4"/>
      <c r="G4" s="4"/>
      <c r="H4" s="4"/>
      <c r="I4" s="4"/>
      <c r="J4" s="4"/>
      <c r="K4" s="4"/>
      <c r="L4" s="4"/>
      <c r="M4" s="4"/>
      <c r="N4" s="4"/>
      <c r="O4" s="4"/>
      <c r="P4" s="4"/>
      <c r="Q4" s="4"/>
      <c r="R4" s="4"/>
      <c r="S4" s="4"/>
      <c r="T4" s="4"/>
      <c r="U4" s="4"/>
      <c r="V4" s="4"/>
      <c r="W4" s="4"/>
      <c r="X4" s="4"/>
      <c r="Y4" s="4"/>
      <c r="Z4" s="4"/>
    </row>
    <row r="5" ht="16.5" customHeight="1">
      <c r="A5" s="4"/>
      <c r="B5" s="4"/>
      <c r="C5" s="10" t="s">
        <v>41</v>
      </c>
      <c r="D5" s="11"/>
      <c r="E5" s="11"/>
      <c r="F5" s="11"/>
      <c r="G5" s="11"/>
      <c r="H5" s="11"/>
      <c r="I5" s="11"/>
      <c r="J5" s="11"/>
      <c r="K5" s="11"/>
      <c r="L5" s="11"/>
      <c r="M5" s="11"/>
      <c r="N5" s="11"/>
      <c r="O5" s="12"/>
      <c r="P5" s="4"/>
      <c r="Q5" s="4"/>
      <c r="R5" s="4"/>
      <c r="S5" s="4"/>
      <c r="T5" s="4"/>
      <c r="U5" s="4"/>
      <c r="V5" s="4"/>
      <c r="W5" s="4"/>
      <c r="X5" s="4"/>
      <c r="Y5" s="4"/>
      <c r="Z5" s="4"/>
    </row>
    <row r="6" ht="16.5" customHeight="1">
      <c r="A6" s="4"/>
      <c r="B6" s="4"/>
      <c r="C6" s="13"/>
      <c r="D6" s="14"/>
      <c r="E6" s="14"/>
      <c r="F6" s="14"/>
      <c r="G6" s="14"/>
      <c r="H6" s="14"/>
      <c r="I6" s="14"/>
      <c r="J6" s="14"/>
      <c r="K6" s="14"/>
      <c r="L6" s="14"/>
      <c r="M6" s="14"/>
      <c r="N6" s="14"/>
      <c r="O6" s="15"/>
      <c r="P6" s="4"/>
      <c r="Q6" s="4"/>
      <c r="R6" s="4"/>
      <c r="S6" s="4"/>
      <c r="T6" s="4"/>
      <c r="U6" s="4"/>
      <c r="V6" s="4"/>
      <c r="W6" s="4"/>
      <c r="X6" s="4"/>
      <c r="Y6" s="4"/>
      <c r="Z6" s="4"/>
    </row>
    <row r="7" ht="18" customHeight="1">
      <c r="A7" s="4"/>
      <c r="B7" s="4"/>
      <c r="C7" s="16" t="s">
        <v>42</v>
      </c>
      <c r="D7" s="17"/>
      <c r="E7" s="17"/>
      <c r="F7" s="17"/>
      <c r="G7" s="17"/>
      <c r="H7" s="17"/>
      <c r="I7" s="17"/>
      <c r="J7" s="17"/>
      <c r="K7" s="17"/>
      <c r="L7" s="17"/>
      <c r="M7" s="17"/>
      <c r="N7" s="17"/>
      <c r="O7" s="9"/>
      <c r="P7" s="4"/>
      <c r="Q7" s="4"/>
      <c r="R7" s="4"/>
      <c r="S7" s="4"/>
      <c r="T7" s="4"/>
      <c r="U7" s="4"/>
      <c r="V7" s="4"/>
      <c r="W7" s="4"/>
      <c r="X7" s="4"/>
      <c r="Y7" s="4"/>
      <c r="Z7" s="4"/>
    </row>
    <row r="8" ht="15" customHeight="1">
      <c r="A8" s="4"/>
      <c r="B8" s="4"/>
      <c r="C8" s="8" t="s">
        <v>43</v>
      </c>
      <c r="D8" s="9"/>
      <c r="E8" s="8" t="s">
        <v>44</v>
      </c>
      <c r="F8" s="17"/>
      <c r="G8" s="17"/>
      <c r="H8" s="17"/>
      <c r="I8" s="17"/>
      <c r="J8" s="17"/>
      <c r="K8" s="17"/>
      <c r="L8" s="17"/>
      <c r="M8" s="17"/>
      <c r="N8" s="17"/>
      <c r="O8" s="9"/>
      <c r="P8" s="4"/>
      <c r="Q8" s="4"/>
      <c r="R8" s="4"/>
      <c r="S8" s="4"/>
      <c r="T8" s="4"/>
      <c r="U8" s="4"/>
      <c r="V8" s="4"/>
      <c r="W8" s="4"/>
      <c r="X8" s="4"/>
      <c r="Y8" s="4"/>
      <c r="Z8" s="4"/>
    </row>
    <row r="9" ht="15" customHeight="1">
      <c r="A9" s="4"/>
      <c r="B9" s="4"/>
      <c r="C9" s="8" t="s">
        <v>45</v>
      </c>
      <c r="D9" s="9"/>
      <c r="E9" s="8" t="s">
        <v>46</v>
      </c>
      <c r="F9" s="17"/>
      <c r="G9" s="17"/>
      <c r="H9" s="17"/>
      <c r="I9" s="17"/>
      <c r="J9" s="17"/>
      <c r="K9" s="17"/>
      <c r="L9" s="17"/>
      <c r="M9" s="17"/>
      <c r="N9" s="17"/>
      <c r="O9" s="9"/>
      <c r="P9" s="4"/>
      <c r="Q9" s="4"/>
      <c r="R9" s="4"/>
      <c r="S9" s="4"/>
      <c r="T9" s="4"/>
      <c r="U9" s="4"/>
      <c r="V9" s="4"/>
      <c r="W9" s="4"/>
      <c r="X9" s="4"/>
      <c r="Y9" s="4"/>
      <c r="Z9" s="4"/>
    </row>
    <row r="10" ht="15" customHeight="1">
      <c r="A10" s="4"/>
      <c r="B10" s="4"/>
      <c r="C10" s="8" t="s">
        <v>47</v>
      </c>
      <c r="D10" s="9"/>
      <c r="E10" s="8" t="s">
        <v>48</v>
      </c>
      <c r="F10" s="17"/>
      <c r="G10" s="17"/>
      <c r="H10" s="17"/>
      <c r="I10" s="17"/>
      <c r="J10" s="17"/>
      <c r="K10" s="17"/>
      <c r="L10" s="17"/>
      <c r="M10" s="17"/>
      <c r="N10" s="17"/>
      <c r="O10" s="9"/>
      <c r="P10" s="4"/>
      <c r="Q10" s="4"/>
      <c r="R10" s="4"/>
      <c r="S10" s="4"/>
      <c r="T10" s="4"/>
      <c r="U10" s="4"/>
      <c r="V10" s="4"/>
      <c r="W10" s="4"/>
      <c r="X10" s="4"/>
      <c r="Y10" s="4"/>
      <c r="Z10" s="4"/>
    </row>
    <row r="11" ht="15" customHeight="1">
      <c r="A11" s="4"/>
      <c r="B11" s="4"/>
      <c r="C11" s="8" t="s">
        <v>49</v>
      </c>
      <c r="D11" s="9"/>
      <c r="E11" s="8" t="s">
        <v>50</v>
      </c>
      <c r="F11" s="17"/>
      <c r="G11" s="17"/>
      <c r="H11" s="17"/>
      <c r="I11" s="17"/>
      <c r="J11" s="17"/>
      <c r="K11" s="17"/>
      <c r="L11" s="17"/>
      <c r="M11" s="17"/>
      <c r="N11" s="17"/>
      <c r="O11" s="9"/>
      <c r="P11" s="4"/>
      <c r="Q11" s="4"/>
      <c r="R11" s="4"/>
      <c r="S11" s="4"/>
      <c r="T11" s="4"/>
      <c r="U11" s="4"/>
      <c r="V11" s="4"/>
      <c r="W11" s="4"/>
      <c r="X11" s="4"/>
      <c r="Y11" s="4"/>
      <c r="Z11" s="4"/>
    </row>
    <row r="12" ht="15" customHeight="1">
      <c r="A12" s="4"/>
      <c r="B12" s="4"/>
      <c r="C12" s="8" t="s">
        <v>51</v>
      </c>
      <c r="D12" s="9"/>
      <c r="E12" s="18">
        <v>46186</v>
      </c>
      <c r="F12" s="17"/>
      <c r="G12" s="17"/>
      <c r="H12" s="17"/>
      <c r="I12" s="17"/>
      <c r="J12" s="17"/>
      <c r="K12" s="17"/>
      <c r="L12" s="17"/>
      <c r="M12" s="17"/>
      <c r="N12" s="17"/>
      <c r="O12" s="9"/>
      <c r="P12" s="4"/>
      <c r="Q12" s="4"/>
      <c r="R12" s="4"/>
      <c r="S12" s="4"/>
      <c r="T12" s="4"/>
      <c r="U12" s="4"/>
      <c r="V12" s="4"/>
      <c r="W12" s="4"/>
      <c r="X12" s="4"/>
      <c r="Y12" s="4"/>
      <c r="Z12" s="4"/>
    </row>
    <row r="13" ht="44.25" customHeight="1">
      <c r="A13" s="4"/>
      <c r="B13" s="4"/>
      <c r="C13" s="8" t="s">
        <v>52</v>
      </c>
      <c r="D13" s="9"/>
      <c r="E13" s="8" t="s">
        <v>53</v>
      </c>
      <c r="F13" s="17"/>
      <c r="G13" s="17"/>
      <c r="H13" s="17"/>
      <c r="I13" s="17"/>
      <c r="J13" s="17"/>
      <c r="K13" s="17"/>
      <c r="L13" s="17"/>
      <c r="M13" s="17"/>
      <c r="N13" s="17"/>
      <c r="O13" s="9"/>
      <c r="P13" s="4"/>
      <c r="Q13" s="4"/>
      <c r="R13" s="4"/>
      <c r="S13" s="4"/>
      <c r="T13" s="4"/>
      <c r="U13" s="4"/>
      <c r="V13" s="4"/>
      <c r="W13" s="4"/>
      <c r="X13" s="4"/>
      <c r="Y13" s="4"/>
      <c r="Z13" s="4"/>
    </row>
    <row r="14" ht="15.75" customHeight="1">
      <c r="A14" s="4"/>
      <c r="B14" s="4"/>
      <c r="C14" s="19" t="s">
        <v>54</v>
      </c>
      <c r="D14" s="20" t="s">
        <v>55</v>
      </c>
      <c r="E14" s="20" t="s">
        <v>56</v>
      </c>
      <c r="F14" s="20" t="s">
        <v>57</v>
      </c>
      <c r="G14" s="20" t="s">
        <v>58</v>
      </c>
      <c r="H14" s="2"/>
      <c r="P14" s="4"/>
      <c r="Q14" s="4"/>
      <c r="R14" s="4"/>
      <c r="S14" s="4"/>
      <c r="T14" s="4"/>
      <c r="U14" s="4"/>
      <c r="V14" s="4"/>
      <c r="W14" s="4"/>
      <c r="X14" s="4"/>
      <c r="Y14" s="4"/>
      <c r="Z14" s="4"/>
    </row>
    <row r="15" ht="15" customHeight="1">
      <c r="A15" s="4"/>
      <c r="B15" s="4"/>
      <c r="C15" s="8">
        <v>66</v>
      </c>
      <c r="D15" s="8">
        <f>COUNTIF(N26:N212, "Fail")</f>
        <v>0</v>
      </c>
      <c r="E15" s="8">
        <f>COUNTIF(F19:F21, "Untest")</f>
        <v>0</v>
      </c>
      <c r="F15" s="8">
        <f>COUNTIF(N26:N168, "N/A")</f>
        <v>1</v>
      </c>
      <c r="G15" s="8">
        <v>67</v>
      </c>
      <c r="H15" s="2"/>
      <c r="P15" s="4"/>
      <c r="Q15" s="4"/>
      <c r="R15" s="4"/>
      <c r="S15" s="4"/>
      <c r="T15" s="4"/>
      <c r="U15" s="4"/>
      <c r="V15" s="4"/>
      <c r="W15" s="4"/>
      <c r="X15" s="4"/>
      <c r="Y15" s="4"/>
      <c r="Z15" s="4"/>
    </row>
    <row r="16" ht="16.5" customHeight="1">
      <c r="A16" s="4"/>
      <c r="B16" s="4"/>
      <c r="C16" s="4"/>
      <c r="P16" s="4"/>
      <c r="Q16" s="4"/>
      <c r="R16" s="4"/>
      <c r="S16" s="4"/>
      <c r="T16" s="4"/>
      <c r="U16" s="4"/>
      <c r="V16" s="4"/>
      <c r="W16" s="4"/>
      <c r="X16" s="4"/>
      <c r="Y16" s="4"/>
      <c r="Z16" s="4"/>
    </row>
    <row r="17" ht="18" customHeight="1">
      <c r="A17" s="4"/>
      <c r="B17" s="4"/>
      <c r="C17" s="21" t="s">
        <v>59</v>
      </c>
      <c r="P17" s="4"/>
      <c r="Q17" s="4"/>
      <c r="R17" s="4"/>
      <c r="S17" s="4"/>
      <c r="T17" s="4"/>
      <c r="U17" s="4"/>
      <c r="V17" s="4"/>
      <c r="W17" s="4"/>
      <c r="X17" s="4"/>
      <c r="Y17" s="4"/>
      <c r="Z17" s="4"/>
    </row>
    <row r="18" ht="15.75" customHeight="1">
      <c r="A18" s="4"/>
      <c r="B18" s="4"/>
      <c r="C18" s="22" t="s">
        <v>60</v>
      </c>
      <c r="D18" s="22" t="s">
        <v>61</v>
      </c>
      <c r="E18" s="9"/>
      <c r="F18" s="22" t="s">
        <v>62</v>
      </c>
      <c r="G18" s="9"/>
      <c r="H18" s="22" t="s">
        <v>63</v>
      </c>
      <c r="I18" s="9"/>
      <c r="J18" s="22" t="s">
        <v>64</v>
      </c>
      <c r="K18" s="9"/>
      <c r="L18" s="22" t="s">
        <v>65</v>
      </c>
      <c r="M18" s="9"/>
      <c r="N18" s="22" t="s">
        <v>66</v>
      </c>
      <c r="O18" s="9"/>
      <c r="P18" s="4"/>
      <c r="Q18" s="4"/>
      <c r="R18" s="4"/>
      <c r="S18" s="4"/>
      <c r="T18" s="4"/>
      <c r="U18" s="4"/>
      <c r="V18" s="4"/>
      <c r="W18" s="4"/>
      <c r="X18" s="4"/>
      <c r="Y18" s="4"/>
      <c r="Z18" s="4"/>
    </row>
    <row r="19" ht="121.5" customHeight="1">
      <c r="A19" s="4"/>
      <c r="B19" s="4"/>
      <c r="C19" s="23">
        <v>1</v>
      </c>
      <c r="D19" s="24" t="s">
        <v>67</v>
      </c>
      <c r="E19" s="9"/>
      <c r="F19" s="24" t="s">
        <v>68</v>
      </c>
      <c r="G19" s="9"/>
      <c r="H19" s="24"/>
      <c r="I19" s="9"/>
      <c r="J19" s="24" t="s">
        <v>69</v>
      </c>
      <c r="K19" s="9"/>
      <c r="L19" s="24" t="s">
        <v>70</v>
      </c>
      <c r="M19" s="9"/>
      <c r="N19" s="24"/>
      <c r="O19" s="9"/>
      <c r="P19" s="4"/>
      <c r="Q19" s="4"/>
      <c r="R19" s="4"/>
      <c r="S19" s="4"/>
      <c r="T19" s="4"/>
      <c r="U19" s="4"/>
      <c r="V19" s="4"/>
      <c r="W19" s="4"/>
      <c r="X19" s="4"/>
      <c r="Y19" s="4"/>
      <c r="Z19" s="4"/>
    </row>
    <row r="20" ht="105" customHeight="1">
      <c r="A20" s="4"/>
      <c r="B20" s="4"/>
      <c r="C20" s="23">
        <v>2</v>
      </c>
      <c r="D20" s="24" t="s">
        <v>71</v>
      </c>
      <c r="E20" s="9"/>
      <c r="F20" s="24" t="s">
        <v>68</v>
      </c>
      <c r="G20" s="9"/>
      <c r="H20" s="24"/>
      <c r="I20" s="9"/>
      <c r="J20" s="24" t="s">
        <v>72</v>
      </c>
      <c r="K20" s="9"/>
      <c r="L20" s="24" t="s">
        <v>73</v>
      </c>
      <c r="M20" s="9"/>
      <c r="N20" s="24"/>
      <c r="O20" s="9"/>
      <c r="P20" s="4"/>
      <c r="Q20" s="4"/>
      <c r="R20" s="4"/>
      <c r="S20" s="4"/>
      <c r="T20" s="4"/>
      <c r="U20" s="4"/>
      <c r="V20" s="4"/>
      <c r="W20" s="4"/>
      <c r="X20" s="4"/>
      <c r="Y20" s="4"/>
      <c r="Z20" s="4"/>
    </row>
    <row r="21" ht="73.5" customHeight="1">
      <c r="A21" s="4"/>
      <c r="B21" s="4"/>
      <c r="C21" s="23">
        <v>3</v>
      </c>
      <c r="D21" s="24" t="s">
        <v>74</v>
      </c>
      <c r="E21" s="9"/>
      <c r="F21" s="24" t="s">
        <v>68</v>
      </c>
      <c r="G21" s="9"/>
      <c r="H21" s="24"/>
      <c r="I21" s="9"/>
      <c r="J21" s="24" t="s">
        <v>75</v>
      </c>
      <c r="K21" s="9"/>
      <c r="L21" s="24" t="s">
        <v>76</v>
      </c>
      <c r="M21" s="9"/>
      <c r="N21" s="24"/>
      <c r="O21" s="9"/>
      <c r="P21" s="4"/>
      <c r="Q21" s="4"/>
      <c r="R21" s="4"/>
      <c r="S21" s="4"/>
      <c r="T21" s="4"/>
      <c r="U21" s="4"/>
      <c r="V21" s="4"/>
      <c r="W21" s="4"/>
      <c r="X21" s="4"/>
      <c r="Y21" s="4"/>
      <c r="Z21" s="4"/>
    </row>
    <row r="22" ht="15" customHeight="1">
      <c r="A22" s="4"/>
      <c r="B22" s="4"/>
      <c r="C22" s="23">
        <v>4</v>
      </c>
      <c r="D22" s="17"/>
      <c r="E22" s="17"/>
      <c r="F22" s="17"/>
      <c r="G22" s="17"/>
      <c r="H22" s="17"/>
      <c r="I22" s="17"/>
      <c r="J22" s="17"/>
      <c r="K22" s="17"/>
      <c r="L22" s="17"/>
      <c r="M22" s="17"/>
      <c r="N22" s="17"/>
      <c r="O22" s="9"/>
      <c r="P22" s="4"/>
      <c r="Q22" s="4"/>
      <c r="R22" s="4"/>
      <c r="S22" s="4"/>
      <c r="T22" s="4"/>
      <c r="U22" s="4"/>
      <c r="V22" s="4"/>
      <c r="W22" s="4"/>
      <c r="X22" s="4"/>
      <c r="Y22" s="4"/>
      <c r="Z22" s="4"/>
    </row>
    <row r="23" ht="15" customHeight="1">
      <c r="A23" s="4"/>
      <c r="B23" s="4"/>
      <c r="C23" s="23">
        <v>5</v>
      </c>
      <c r="D23" s="17"/>
      <c r="E23" s="17"/>
      <c r="F23" s="17"/>
      <c r="G23" s="17"/>
      <c r="H23" s="17"/>
      <c r="I23" s="17"/>
      <c r="J23" s="17"/>
      <c r="K23" s="17"/>
      <c r="L23" s="17"/>
      <c r="M23" s="9"/>
      <c r="N23" s="24"/>
      <c r="O23" s="9"/>
      <c r="P23" s="4"/>
      <c r="Q23" s="4"/>
      <c r="R23" s="4"/>
      <c r="S23" s="4"/>
      <c r="T23" s="4"/>
      <c r="U23" s="4"/>
      <c r="V23" s="4"/>
      <c r="W23" s="4"/>
      <c r="X23" s="4"/>
      <c r="Y23" s="4"/>
      <c r="Z23" s="4"/>
    </row>
    <row r="24" ht="14.25" customHeight="1">
      <c r="A24" s="4"/>
      <c r="B24" s="4"/>
      <c r="C24" s="4"/>
      <c r="D24" s="4"/>
      <c r="E24" s="4"/>
      <c r="G24" s="4"/>
      <c r="I24" s="4"/>
      <c r="K24" s="4"/>
      <c r="M24" s="4"/>
      <c r="N24" s="4"/>
      <c r="O24" s="4"/>
      <c r="P24" s="4"/>
      <c r="Q24" s="4"/>
      <c r="R24" s="4"/>
      <c r="S24" s="4"/>
      <c r="T24" s="4"/>
      <c r="U24" s="4"/>
      <c r="V24" s="4"/>
      <c r="W24" s="4"/>
      <c r="X24" s="4"/>
      <c r="Y24" s="4"/>
      <c r="Z24" s="4"/>
    </row>
    <row r="25" ht="18" customHeight="1">
      <c r="A25" s="4"/>
      <c r="B25" s="4"/>
      <c r="C25" s="25" t="s">
        <v>77</v>
      </c>
      <c r="D25" s="17"/>
      <c r="E25" s="17"/>
      <c r="F25" s="17"/>
      <c r="G25" s="17"/>
      <c r="H25" s="17"/>
      <c r="I25" s="17"/>
      <c r="J25" s="17"/>
      <c r="K25" s="17"/>
      <c r="L25" s="17"/>
      <c r="M25" s="17"/>
      <c r="N25" s="17"/>
      <c r="O25" s="9"/>
      <c r="P25" s="4"/>
      <c r="Q25" s="4"/>
      <c r="R25" s="4"/>
      <c r="S25" s="4"/>
      <c r="T25" s="4"/>
      <c r="U25" s="4"/>
      <c r="V25" s="4"/>
      <c r="W25" s="4"/>
      <c r="X25" s="4"/>
      <c r="Y25" s="4"/>
      <c r="Z25" s="4"/>
    </row>
    <row r="26" ht="15.75" customHeight="1">
      <c r="A26" s="4"/>
      <c r="B26" s="4"/>
      <c r="C26" s="26" t="s">
        <v>78</v>
      </c>
      <c r="D26" s="26" t="s">
        <v>79</v>
      </c>
      <c r="E26" s="26" t="s">
        <v>80</v>
      </c>
      <c r="F26" s="9"/>
      <c r="G26" s="26" t="s">
        <v>81</v>
      </c>
      <c r="H26" s="9"/>
      <c r="I26" s="26" t="s">
        <v>82</v>
      </c>
      <c r="J26" s="9"/>
      <c r="K26" s="26" t="s">
        <v>83</v>
      </c>
      <c r="L26" s="9"/>
      <c r="M26" s="26" t="s">
        <v>84</v>
      </c>
      <c r="N26" s="26" t="s">
        <v>85</v>
      </c>
      <c r="O26" s="26" t="s">
        <v>86</v>
      </c>
      <c r="P26" s="4"/>
      <c r="Q26" s="4"/>
      <c r="R26" s="4"/>
      <c r="S26" s="4"/>
      <c r="T26" s="4"/>
      <c r="U26" s="4"/>
      <c r="V26" s="4"/>
      <c r="W26" s="4"/>
      <c r="X26" s="4"/>
      <c r="Y26" s="4"/>
      <c r="Z26" s="4"/>
    </row>
    <row r="27" ht="15.75" customHeight="1">
      <c r="A27" s="4"/>
      <c r="B27" s="4"/>
      <c r="C27" s="27" t="s">
        <v>87</v>
      </c>
      <c r="D27" s="17"/>
      <c r="E27" s="17"/>
      <c r="F27" s="17"/>
      <c r="G27" s="17"/>
      <c r="H27" s="17"/>
      <c r="I27" s="17"/>
      <c r="J27" s="17"/>
      <c r="K27" s="17"/>
      <c r="L27" s="17"/>
      <c r="M27" s="17"/>
      <c r="N27" s="17"/>
      <c r="O27" s="9"/>
      <c r="P27" s="4"/>
      <c r="Q27" s="4"/>
      <c r="R27" s="4"/>
      <c r="S27" s="4"/>
      <c r="T27" s="4"/>
      <c r="U27" s="4"/>
      <c r="V27" s="4"/>
      <c r="W27" s="4"/>
      <c r="X27" s="4"/>
      <c r="Y27" s="4"/>
      <c r="Z27" s="4"/>
    </row>
    <row r="28" ht="183" customHeight="1">
      <c r="A28" s="4"/>
      <c r="B28" s="4"/>
      <c r="C28" s="28" t="s">
        <v>88</v>
      </c>
      <c r="D28" s="28" t="s">
        <v>89</v>
      </c>
      <c r="E28" s="28" t="s">
        <v>90</v>
      </c>
      <c r="F28" s="9"/>
      <c r="G28" s="28" t="s">
        <v>91</v>
      </c>
      <c r="H28" s="9"/>
      <c r="I28" s="28"/>
      <c r="J28" s="9"/>
      <c r="K28" s="28" t="s">
        <v>92</v>
      </c>
      <c r="L28" s="9"/>
      <c r="M28" s="28">
        <v>46186</v>
      </c>
      <c r="N28" s="28" t="s">
        <v>54</v>
      </c>
      <c r="O28" s="28"/>
      <c r="P28" s="4"/>
      <c r="Q28" s="4"/>
      <c r="R28" s="4"/>
      <c r="S28" s="4"/>
      <c r="T28" s="4"/>
      <c r="U28" s="4"/>
      <c r="V28" s="4"/>
      <c r="W28" s="4"/>
      <c r="X28" s="4"/>
      <c r="Y28" s="4"/>
      <c r="Z28" s="4"/>
    </row>
    <row r="29" ht="49.5" customHeight="1">
      <c r="A29" s="4"/>
      <c r="B29" s="4"/>
      <c r="C29" s="28" t="s">
        <v>93</v>
      </c>
      <c r="D29" s="28" t="s">
        <v>89</v>
      </c>
      <c r="E29" s="28" t="s">
        <v>94</v>
      </c>
      <c r="F29" s="9"/>
      <c r="G29" s="28" t="s">
        <v>95</v>
      </c>
      <c r="H29" s="9"/>
      <c r="I29" s="28"/>
      <c r="J29" s="9"/>
      <c r="K29" s="28" t="s">
        <v>96</v>
      </c>
      <c r="L29" s="9"/>
      <c r="M29" s="28">
        <v>46186</v>
      </c>
      <c r="N29" s="28" t="s">
        <v>54</v>
      </c>
      <c r="O29" s="28"/>
      <c r="P29" s="4"/>
      <c r="Q29" s="4"/>
      <c r="R29" s="4"/>
      <c r="S29" s="4"/>
      <c r="T29" s="4"/>
      <c r="U29" s="4"/>
      <c r="V29" s="4"/>
      <c r="W29" s="4"/>
      <c r="X29" s="4"/>
      <c r="Y29" s="4"/>
      <c r="Z29" s="4"/>
    </row>
    <row r="30" ht="37.5" customHeight="1">
      <c r="A30" s="4"/>
      <c r="B30" s="4"/>
      <c r="C30" s="28" t="s">
        <v>97</v>
      </c>
      <c r="D30" s="28" t="s">
        <v>89</v>
      </c>
      <c r="E30" s="28" t="s">
        <v>98</v>
      </c>
      <c r="F30" s="9"/>
      <c r="G30" s="28" t="s">
        <v>99</v>
      </c>
      <c r="H30" s="9"/>
      <c r="I30" s="28"/>
      <c r="J30" s="9"/>
      <c r="K30" s="28" t="s">
        <v>100</v>
      </c>
      <c r="L30" s="9"/>
      <c r="M30" s="28">
        <v>46186</v>
      </c>
      <c r="N30" s="28" t="s">
        <v>54</v>
      </c>
      <c r="O30" s="28"/>
      <c r="P30" s="4"/>
      <c r="Q30" s="4"/>
      <c r="R30" s="4"/>
      <c r="S30" s="4"/>
      <c r="T30" s="4"/>
      <c r="U30" s="4"/>
      <c r="V30" s="4"/>
      <c r="W30" s="4"/>
      <c r="X30" s="4"/>
      <c r="Y30" s="4"/>
      <c r="Z30" s="4"/>
    </row>
    <row r="31" ht="39" customHeight="1">
      <c r="A31" s="4"/>
      <c r="B31" s="4"/>
      <c r="C31" s="28" t="s">
        <v>101</v>
      </c>
      <c r="D31" s="28" t="s">
        <v>89</v>
      </c>
      <c r="E31" s="28" t="s">
        <v>102</v>
      </c>
      <c r="F31" s="9"/>
      <c r="G31" s="28" t="s">
        <v>103</v>
      </c>
      <c r="H31" s="9"/>
      <c r="I31" s="28"/>
      <c r="J31" s="9"/>
      <c r="K31" s="28" t="s">
        <v>104</v>
      </c>
      <c r="L31" s="9"/>
      <c r="M31" s="28">
        <v>46186</v>
      </c>
      <c r="N31" s="28" t="s">
        <v>54</v>
      </c>
      <c r="O31" s="28"/>
      <c r="P31" s="4"/>
      <c r="Q31" s="4"/>
      <c r="R31" s="4"/>
      <c r="S31" s="4"/>
      <c r="T31" s="4"/>
      <c r="U31" s="4"/>
      <c r="V31" s="4"/>
      <c r="W31" s="4"/>
      <c r="X31" s="4"/>
      <c r="Y31" s="4"/>
      <c r="Z31" s="4"/>
    </row>
    <row r="32" ht="39" customHeight="1">
      <c r="A32" s="4"/>
      <c r="B32" s="4"/>
      <c r="C32" s="28" t="s">
        <v>105</v>
      </c>
      <c r="D32" s="28" t="s">
        <v>89</v>
      </c>
      <c r="E32" s="28" t="s">
        <v>106</v>
      </c>
      <c r="F32" s="9"/>
      <c r="G32" s="28" t="s">
        <v>107</v>
      </c>
      <c r="H32" s="9"/>
      <c r="I32" s="28"/>
      <c r="J32" s="9"/>
      <c r="K32" s="28" t="s">
        <v>108</v>
      </c>
      <c r="L32" s="9"/>
      <c r="M32" s="28">
        <v>46186</v>
      </c>
      <c r="N32" s="28" t="s">
        <v>54</v>
      </c>
      <c r="O32" s="28"/>
      <c r="P32" s="4"/>
      <c r="Q32" s="4"/>
      <c r="R32" s="4"/>
      <c r="S32" s="4"/>
      <c r="T32" s="4"/>
      <c r="U32" s="4"/>
      <c r="V32" s="4"/>
      <c r="W32" s="4"/>
      <c r="X32" s="4"/>
      <c r="Y32" s="4"/>
      <c r="Z32" s="4"/>
    </row>
    <row r="33" ht="30" customHeight="1">
      <c r="A33" s="4"/>
      <c r="B33" s="4"/>
      <c r="C33" s="28" t="s">
        <v>109</v>
      </c>
      <c r="D33" s="28" t="s">
        <v>89</v>
      </c>
      <c r="E33" s="28" t="s">
        <v>110</v>
      </c>
      <c r="F33" s="9"/>
      <c r="G33" s="28" t="s">
        <v>111</v>
      </c>
      <c r="H33" s="9"/>
      <c r="I33" s="28"/>
      <c r="J33" s="9"/>
      <c r="K33" s="28" t="s">
        <v>112</v>
      </c>
      <c r="L33" s="9"/>
      <c r="M33" s="28">
        <v>46186</v>
      </c>
      <c r="N33" s="28" t="s">
        <v>54</v>
      </c>
      <c r="O33" s="28"/>
      <c r="P33" s="4"/>
      <c r="Q33" s="4"/>
      <c r="R33" s="4"/>
      <c r="S33" s="4"/>
      <c r="T33" s="4"/>
      <c r="U33" s="4"/>
      <c r="V33" s="4"/>
      <c r="W33" s="4"/>
      <c r="X33" s="4"/>
      <c r="Y33" s="4"/>
      <c r="Z33" s="4"/>
    </row>
    <row r="34" ht="32.25" customHeight="1">
      <c r="A34" s="4"/>
      <c r="B34" s="4"/>
      <c r="C34" s="28" t="s">
        <v>113</v>
      </c>
      <c r="D34" s="28" t="s">
        <v>89</v>
      </c>
      <c r="E34" s="28" t="s">
        <v>114</v>
      </c>
      <c r="F34" s="9"/>
      <c r="G34" s="28" t="s">
        <v>115</v>
      </c>
      <c r="H34" s="9"/>
      <c r="I34" s="28"/>
      <c r="J34" s="9"/>
      <c r="K34" s="28" t="s">
        <v>116</v>
      </c>
      <c r="L34" s="9"/>
      <c r="M34" s="28">
        <v>46186</v>
      </c>
      <c r="N34" s="28" t="s">
        <v>54</v>
      </c>
      <c r="O34" s="28"/>
      <c r="P34" s="4"/>
      <c r="Q34" s="4"/>
      <c r="R34" s="4"/>
      <c r="S34" s="4"/>
      <c r="T34" s="4"/>
      <c r="U34" s="4"/>
      <c r="V34" s="4"/>
      <c r="W34" s="4"/>
      <c r="X34" s="4"/>
      <c r="Y34" s="4"/>
      <c r="Z34" s="4"/>
    </row>
    <row r="35" ht="38.25" customHeight="1">
      <c r="A35" s="4"/>
      <c r="B35" s="4"/>
      <c r="C35" s="28" t="s">
        <v>117</v>
      </c>
      <c r="D35" s="28" t="s">
        <v>61</v>
      </c>
      <c r="E35" s="28" t="s">
        <v>118</v>
      </c>
      <c r="F35" s="9"/>
      <c r="G35" s="28" t="s">
        <v>119</v>
      </c>
      <c r="H35" s="9"/>
      <c r="I35" s="28" t="s">
        <v>120</v>
      </c>
      <c r="J35" s="9"/>
      <c r="K35" s="28" t="s">
        <v>121</v>
      </c>
      <c r="L35" s="9"/>
      <c r="M35" s="28">
        <v>46186</v>
      </c>
      <c r="N35" s="28" t="s">
        <v>54</v>
      </c>
      <c r="O35" s="28"/>
      <c r="P35" s="4"/>
      <c r="Q35" s="4"/>
      <c r="R35" s="4"/>
      <c r="S35" s="4"/>
      <c r="T35" s="4"/>
      <c r="U35" s="4"/>
      <c r="V35" s="4"/>
      <c r="W35" s="4"/>
      <c r="X35" s="4"/>
      <c r="Y35" s="4"/>
      <c r="Z35" s="4"/>
    </row>
    <row r="36" ht="30" customHeight="1">
      <c r="A36" s="4"/>
      <c r="B36" s="4"/>
      <c r="C36" s="28" t="s">
        <v>122</v>
      </c>
      <c r="D36" s="28" t="s">
        <v>61</v>
      </c>
      <c r="E36" s="28" t="s">
        <v>123</v>
      </c>
      <c r="F36" s="9"/>
      <c r="G36" s="28" t="s">
        <v>124</v>
      </c>
      <c r="H36" s="9"/>
      <c r="I36" s="28" t="s">
        <v>125</v>
      </c>
      <c r="J36" s="9"/>
      <c r="K36" s="28" t="s">
        <v>126</v>
      </c>
      <c r="L36" s="9"/>
      <c r="M36" s="28">
        <v>46186</v>
      </c>
      <c r="N36" s="28" t="s">
        <v>54</v>
      </c>
      <c r="O36" s="28"/>
      <c r="P36" s="4"/>
      <c r="Q36" s="4"/>
      <c r="R36" s="4"/>
      <c r="S36" s="4"/>
      <c r="T36" s="4"/>
      <c r="U36" s="4"/>
      <c r="V36" s="4"/>
      <c r="W36" s="4"/>
      <c r="X36" s="4"/>
      <c r="Y36" s="4"/>
      <c r="Z36" s="4"/>
    </row>
    <row r="37" ht="34.5" customHeight="1">
      <c r="A37" s="4"/>
      <c r="B37" s="4"/>
      <c r="C37" s="28" t="s">
        <v>127</v>
      </c>
      <c r="D37" s="28" t="s">
        <v>61</v>
      </c>
      <c r="E37" s="28" t="s">
        <v>128</v>
      </c>
      <c r="F37" s="9"/>
      <c r="G37" s="28" t="s">
        <v>129</v>
      </c>
      <c r="H37" s="9"/>
      <c r="I37" s="28" t="s">
        <v>130</v>
      </c>
      <c r="J37" s="9"/>
      <c r="K37" s="28" t="s">
        <v>131</v>
      </c>
      <c r="L37" s="9"/>
      <c r="M37" s="28">
        <v>46186</v>
      </c>
      <c r="N37" s="28" t="s">
        <v>54</v>
      </c>
      <c r="O37" s="28"/>
      <c r="P37" s="4"/>
      <c r="Q37" s="4"/>
      <c r="R37" s="4"/>
      <c r="S37" s="4"/>
      <c r="T37" s="4"/>
      <c r="U37" s="4"/>
      <c r="V37" s="4"/>
      <c r="W37" s="4"/>
      <c r="X37" s="4"/>
      <c r="Y37" s="4"/>
      <c r="Z37" s="4"/>
    </row>
    <row r="38" ht="42" customHeight="1">
      <c r="A38" s="4"/>
      <c r="B38" s="4"/>
      <c r="C38" s="28" t="s">
        <v>132</v>
      </c>
      <c r="D38" s="28" t="s">
        <v>61</v>
      </c>
      <c r="E38" s="28" t="s">
        <v>133</v>
      </c>
      <c r="F38" s="9"/>
      <c r="G38" s="28" t="s">
        <v>134</v>
      </c>
      <c r="H38" s="9"/>
      <c r="I38" s="28" t="s">
        <v>135</v>
      </c>
      <c r="J38" s="9"/>
      <c r="K38" s="28" t="s">
        <v>136</v>
      </c>
      <c r="L38" s="9"/>
      <c r="M38" s="28">
        <v>46186</v>
      </c>
      <c r="N38" s="28" t="s">
        <v>54</v>
      </c>
      <c r="O38" s="28"/>
      <c r="P38" s="4"/>
      <c r="Q38" s="4"/>
      <c r="R38" s="4"/>
      <c r="S38" s="4"/>
      <c r="T38" s="4"/>
      <c r="U38" s="4"/>
      <c r="V38" s="4"/>
      <c r="W38" s="4"/>
      <c r="X38" s="4"/>
      <c r="Y38" s="4"/>
      <c r="Z38" s="4"/>
    </row>
    <row r="39" ht="36.75" customHeight="1">
      <c r="A39" s="4"/>
      <c r="B39" s="4"/>
      <c r="C39" s="28" t="s">
        <v>137</v>
      </c>
      <c r="D39" s="28" t="s">
        <v>61</v>
      </c>
      <c r="E39" s="28" t="s">
        <v>138</v>
      </c>
      <c r="F39" s="9"/>
      <c r="G39" s="28" t="s">
        <v>139</v>
      </c>
      <c r="H39" s="9"/>
      <c r="I39" s="28" t="s">
        <v>140</v>
      </c>
      <c r="J39" s="9"/>
      <c r="K39" s="28" t="s">
        <v>141</v>
      </c>
      <c r="L39" s="9"/>
      <c r="M39" s="28">
        <v>46186</v>
      </c>
      <c r="N39" s="28" t="s">
        <v>54</v>
      </c>
      <c r="O39" s="28"/>
      <c r="P39" s="4"/>
      <c r="Q39" s="4"/>
      <c r="R39" s="4"/>
      <c r="S39" s="4"/>
      <c r="T39" s="4"/>
      <c r="U39" s="4"/>
      <c r="V39" s="4"/>
      <c r="W39" s="4"/>
      <c r="X39" s="4"/>
      <c r="Y39" s="4"/>
      <c r="Z39" s="4"/>
    </row>
    <row r="40" ht="38.25" customHeight="1">
      <c r="A40" s="4"/>
      <c r="B40" s="4"/>
      <c r="C40" s="28" t="s">
        <v>142</v>
      </c>
      <c r="D40" s="28" t="s">
        <v>61</v>
      </c>
      <c r="E40" s="28" t="s">
        <v>143</v>
      </c>
      <c r="F40" s="9"/>
      <c r="G40" s="28" t="s">
        <v>144</v>
      </c>
      <c r="H40" s="9"/>
      <c r="I40" s="28" t="s">
        <v>145</v>
      </c>
      <c r="J40" s="9"/>
      <c r="K40" s="28" t="s">
        <v>146</v>
      </c>
      <c r="L40" s="9"/>
      <c r="M40" s="28">
        <v>46186</v>
      </c>
      <c r="N40" s="28" t="s">
        <v>54</v>
      </c>
      <c r="O40" s="28"/>
      <c r="P40" s="4"/>
      <c r="Q40" s="4"/>
      <c r="R40" s="4"/>
      <c r="S40" s="4"/>
      <c r="T40" s="4"/>
      <c r="U40" s="4"/>
      <c r="V40" s="4"/>
      <c r="W40" s="4"/>
      <c r="X40" s="4"/>
      <c r="Y40" s="4"/>
      <c r="Z40" s="4"/>
    </row>
    <row r="41" ht="39.75" customHeight="1">
      <c r="A41" s="4"/>
      <c r="B41" s="4"/>
      <c r="C41" s="28" t="s">
        <v>147</v>
      </c>
      <c r="D41" s="28" t="s">
        <v>61</v>
      </c>
      <c r="E41" s="28" t="s">
        <v>148</v>
      </c>
      <c r="F41" s="9"/>
      <c r="G41" s="28" t="s">
        <v>149</v>
      </c>
      <c r="H41" s="9"/>
      <c r="I41" s="28" t="s">
        <v>150</v>
      </c>
      <c r="J41" s="9"/>
      <c r="K41" s="28" t="s">
        <v>151</v>
      </c>
      <c r="L41" s="9"/>
      <c r="M41" s="28">
        <v>46186</v>
      </c>
      <c r="N41" s="28" t="s">
        <v>54</v>
      </c>
      <c r="O41" s="28"/>
      <c r="P41" s="4"/>
      <c r="Q41" s="4"/>
      <c r="R41" s="4"/>
      <c r="S41" s="4"/>
      <c r="T41" s="4"/>
      <c r="U41" s="4"/>
      <c r="V41" s="4"/>
      <c r="W41" s="4"/>
      <c r="X41" s="4"/>
      <c r="Y41" s="4"/>
      <c r="Z41" s="4"/>
    </row>
    <row r="42" ht="15.75" customHeight="1">
      <c r="A42" s="4"/>
      <c r="B42" s="4"/>
      <c r="C42" s="27" t="s">
        <v>152</v>
      </c>
      <c r="D42" s="17"/>
      <c r="E42" s="17"/>
      <c r="F42" s="17"/>
      <c r="G42" s="17"/>
      <c r="H42" s="17"/>
      <c r="I42" s="17"/>
      <c r="J42" s="17"/>
      <c r="K42" s="17"/>
      <c r="L42" s="17"/>
      <c r="M42" s="17"/>
      <c r="N42" s="17"/>
      <c r="O42" s="9"/>
      <c r="P42" s="4"/>
      <c r="Q42" s="4"/>
      <c r="R42" s="4"/>
      <c r="S42" s="4"/>
      <c r="T42" s="4"/>
      <c r="U42" s="4"/>
      <c r="V42" s="4"/>
      <c r="W42" s="4"/>
      <c r="X42" s="4"/>
      <c r="Y42" s="4"/>
      <c r="Z42" s="4"/>
    </row>
    <row r="43" ht="180.75" customHeight="1">
      <c r="A43" s="4"/>
      <c r="B43" s="4"/>
      <c r="C43" s="28" t="s">
        <v>153</v>
      </c>
      <c r="D43" s="28" t="s">
        <v>89</v>
      </c>
      <c r="E43" s="28" t="s">
        <v>154</v>
      </c>
      <c r="F43" s="9"/>
      <c r="G43" s="28" t="s">
        <v>155</v>
      </c>
      <c r="H43" s="9"/>
      <c r="I43" s="28"/>
      <c r="J43" s="9"/>
      <c r="K43" s="28" t="s">
        <v>156</v>
      </c>
      <c r="L43" s="9"/>
      <c r="M43" s="28">
        <v>46186</v>
      </c>
      <c r="N43" s="28" t="s">
        <v>54</v>
      </c>
      <c r="O43" s="28"/>
      <c r="P43" s="4"/>
      <c r="Q43" s="4"/>
      <c r="R43" s="4"/>
      <c r="S43" s="4"/>
      <c r="T43" s="4"/>
      <c r="U43" s="4"/>
      <c r="V43" s="4"/>
      <c r="W43" s="4"/>
      <c r="X43" s="4"/>
      <c r="Y43" s="4"/>
      <c r="Z43" s="4"/>
    </row>
    <row r="44" ht="35.25" customHeight="1">
      <c r="A44" s="4"/>
      <c r="B44" s="4"/>
      <c r="C44" s="28" t="s">
        <v>157</v>
      </c>
      <c r="D44" s="28" t="s">
        <v>89</v>
      </c>
      <c r="E44" s="28" t="s">
        <v>158</v>
      </c>
      <c r="F44" s="9"/>
      <c r="G44" s="28" t="s">
        <v>159</v>
      </c>
      <c r="H44" s="9"/>
      <c r="I44" s="28"/>
      <c r="J44" s="9"/>
      <c r="K44" s="28" t="s">
        <v>160</v>
      </c>
      <c r="L44" s="9"/>
      <c r="M44" s="28">
        <v>46186</v>
      </c>
      <c r="N44" s="28" t="s">
        <v>54</v>
      </c>
      <c r="O44" s="28"/>
      <c r="P44" s="4"/>
      <c r="Q44" s="4"/>
      <c r="R44" s="4"/>
      <c r="S44" s="4"/>
      <c r="T44" s="4"/>
      <c r="U44" s="4"/>
      <c r="V44" s="4"/>
      <c r="W44" s="4"/>
      <c r="X44" s="4"/>
      <c r="Y44" s="4"/>
      <c r="Z44" s="4"/>
    </row>
    <row r="45" ht="36" customHeight="1">
      <c r="A45" s="4"/>
      <c r="B45" s="4"/>
      <c r="C45" s="28" t="s">
        <v>161</v>
      </c>
      <c r="D45" s="28" t="s">
        <v>89</v>
      </c>
      <c r="E45" s="28" t="s">
        <v>162</v>
      </c>
      <c r="F45" s="9"/>
      <c r="G45" s="28" t="s">
        <v>163</v>
      </c>
      <c r="H45" s="9"/>
      <c r="I45" s="28"/>
      <c r="J45" s="9"/>
      <c r="K45" s="28" t="s">
        <v>164</v>
      </c>
      <c r="L45" s="9"/>
      <c r="M45" s="28">
        <v>46186</v>
      </c>
      <c r="N45" s="28" t="s">
        <v>54</v>
      </c>
      <c r="O45" s="28"/>
      <c r="P45" s="4"/>
      <c r="Q45" s="4"/>
      <c r="R45" s="4"/>
      <c r="S45" s="4"/>
      <c r="T45" s="4"/>
      <c r="U45" s="4"/>
      <c r="V45" s="4"/>
      <c r="W45" s="4"/>
      <c r="X45" s="4"/>
      <c r="Y45" s="4"/>
      <c r="Z45" s="4"/>
    </row>
    <row r="46" ht="33.75" customHeight="1">
      <c r="A46" s="4"/>
      <c r="B46" s="4"/>
      <c r="C46" s="28" t="s">
        <v>165</v>
      </c>
      <c r="D46" s="28" t="s">
        <v>89</v>
      </c>
      <c r="E46" s="28" t="s">
        <v>166</v>
      </c>
      <c r="F46" s="9"/>
      <c r="G46" s="28" t="s">
        <v>167</v>
      </c>
      <c r="H46" s="9"/>
      <c r="I46" s="28"/>
      <c r="J46" s="9"/>
      <c r="K46" s="28" t="s">
        <v>168</v>
      </c>
      <c r="L46" s="9"/>
      <c r="M46" s="28">
        <v>46186</v>
      </c>
      <c r="N46" s="28" t="s">
        <v>54</v>
      </c>
      <c r="O46" s="28"/>
      <c r="P46" s="4"/>
      <c r="Q46" s="4"/>
      <c r="R46" s="4"/>
      <c r="S46" s="4"/>
      <c r="T46" s="4"/>
      <c r="U46" s="4"/>
      <c r="V46" s="4"/>
      <c r="W46" s="4"/>
      <c r="X46" s="4"/>
      <c r="Y46" s="4"/>
      <c r="Z46" s="4"/>
    </row>
    <row r="47" ht="30" customHeight="1">
      <c r="A47" s="4"/>
      <c r="B47" s="4"/>
      <c r="C47" s="28" t="s">
        <v>169</v>
      </c>
      <c r="D47" s="28" t="s">
        <v>89</v>
      </c>
      <c r="E47" s="28" t="s">
        <v>170</v>
      </c>
      <c r="F47" s="9"/>
      <c r="G47" s="28" t="s">
        <v>171</v>
      </c>
      <c r="H47" s="9"/>
      <c r="I47" s="28"/>
      <c r="J47" s="9"/>
      <c r="K47" s="28" t="s">
        <v>172</v>
      </c>
      <c r="L47" s="9"/>
      <c r="M47" s="28">
        <v>46186</v>
      </c>
      <c r="N47" s="28" t="s">
        <v>54</v>
      </c>
      <c r="O47" s="28"/>
      <c r="P47" s="4"/>
      <c r="Q47" s="4"/>
      <c r="R47" s="4"/>
      <c r="S47" s="4"/>
      <c r="T47" s="4"/>
      <c r="U47" s="4"/>
      <c r="V47" s="4"/>
      <c r="W47" s="4"/>
      <c r="X47" s="4"/>
      <c r="Y47" s="4"/>
      <c r="Z47" s="4"/>
    </row>
    <row r="48" ht="30" customHeight="1">
      <c r="A48" s="4"/>
      <c r="B48" s="4"/>
      <c r="C48" s="28" t="s">
        <v>173</v>
      </c>
      <c r="D48" s="28" t="s">
        <v>89</v>
      </c>
      <c r="E48" s="28" t="s">
        <v>174</v>
      </c>
      <c r="F48" s="9"/>
      <c r="G48" s="28" t="s">
        <v>175</v>
      </c>
      <c r="H48" s="9"/>
      <c r="I48" s="28"/>
      <c r="J48" s="9"/>
      <c r="K48" s="28" t="s">
        <v>176</v>
      </c>
      <c r="L48" s="9"/>
      <c r="M48" s="28">
        <v>46186</v>
      </c>
      <c r="N48" s="28" t="s">
        <v>54</v>
      </c>
      <c r="O48" s="28"/>
      <c r="P48" s="4"/>
      <c r="Q48" s="4"/>
      <c r="R48" s="4"/>
      <c r="S48" s="4"/>
      <c r="T48" s="4"/>
      <c r="U48" s="4"/>
      <c r="V48" s="4"/>
      <c r="W48" s="4"/>
      <c r="X48" s="4"/>
      <c r="Y48" s="4"/>
      <c r="Z48" s="4"/>
    </row>
    <row r="49" ht="225.75" customHeight="1">
      <c r="A49" s="4"/>
      <c r="B49" s="4"/>
      <c r="C49" s="28" t="s">
        <v>177</v>
      </c>
      <c r="D49" s="28" t="s">
        <v>178</v>
      </c>
      <c r="E49" s="28" t="s">
        <v>179</v>
      </c>
      <c r="F49" s="9"/>
      <c r="G49" s="28" t="s">
        <v>180</v>
      </c>
      <c r="H49" s="9"/>
      <c r="I49" s="28" t="s">
        <v>181</v>
      </c>
      <c r="J49" s="9"/>
      <c r="K49" s="28" t="s">
        <v>182</v>
      </c>
      <c r="L49" s="9"/>
      <c r="M49" s="28">
        <v>46186</v>
      </c>
      <c r="N49" s="28" t="s">
        <v>54</v>
      </c>
      <c r="O49" s="28"/>
      <c r="P49" s="4"/>
      <c r="Q49" s="4"/>
      <c r="R49" s="4"/>
      <c r="S49" s="4"/>
      <c r="T49" s="4"/>
      <c r="U49" s="4"/>
      <c r="V49" s="4"/>
      <c r="W49" s="4"/>
      <c r="X49" s="4"/>
      <c r="Y49" s="4"/>
      <c r="Z49" s="4"/>
    </row>
    <row r="50" ht="42" customHeight="1">
      <c r="A50" s="4"/>
      <c r="B50" s="4"/>
      <c r="C50" s="28" t="s">
        <v>183</v>
      </c>
      <c r="D50" s="28" t="s">
        <v>178</v>
      </c>
      <c r="E50" s="28" t="s">
        <v>184</v>
      </c>
      <c r="F50" s="9"/>
      <c r="G50" s="28" t="s">
        <v>185</v>
      </c>
      <c r="H50" s="9"/>
      <c r="I50" s="28" t="s">
        <v>186</v>
      </c>
      <c r="J50" s="9"/>
      <c r="K50" s="28" t="s">
        <v>187</v>
      </c>
      <c r="L50" s="9"/>
      <c r="M50" s="28">
        <v>46186</v>
      </c>
      <c r="N50" s="28" t="s">
        <v>54</v>
      </c>
      <c r="O50" s="28"/>
      <c r="P50" s="4"/>
      <c r="Q50" s="4"/>
      <c r="R50" s="4"/>
      <c r="S50" s="4"/>
      <c r="T50" s="4"/>
      <c r="U50" s="4"/>
      <c r="V50" s="4"/>
      <c r="W50" s="4"/>
      <c r="X50" s="4"/>
      <c r="Y50" s="4"/>
      <c r="Z50" s="4"/>
    </row>
    <row r="51" ht="45" customHeight="1">
      <c r="A51" s="4"/>
      <c r="B51" s="4"/>
      <c r="C51" s="28" t="s">
        <v>188</v>
      </c>
      <c r="D51" s="28" t="s">
        <v>178</v>
      </c>
      <c r="E51" s="28" t="s">
        <v>189</v>
      </c>
      <c r="F51" s="9"/>
      <c r="G51" s="28" t="s">
        <v>190</v>
      </c>
      <c r="H51" s="9"/>
      <c r="I51" s="28" t="s">
        <v>191</v>
      </c>
      <c r="J51" s="9"/>
      <c r="K51" s="28" t="s">
        <v>192</v>
      </c>
      <c r="L51" s="9"/>
      <c r="M51" s="28">
        <v>46186</v>
      </c>
      <c r="N51" s="28" t="s">
        <v>54</v>
      </c>
      <c r="O51" s="28"/>
      <c r="P51" s="4"/>
      <c r="Q51" s="4"/>
      <c r="R51" s="4"/>
      <c r="S51" s="4"/>
      <c r="T51" s="4"/>
      <c r="U51" s="4"/>
      <c r="V51" s="4"/>
      <c r="W51" s="4"/>
      <c r="X51" s="4"/>
      <c r="Y51" s="4"/>
      <c r="Z51" s="4"/>
    </row>
    <row r="52" ht="36.75" customHeight="1">
      <c r="A52" s="4"/>
      <c r="B52" s="4"/>
      <c r="C52" s="28" t="s">
        <v>193</v>
      </c>
      <c r="D52" s="28" t="s">
        <v>61</v>
      </c>
      <c r="E52" s="28" t="s">
        <v>194</v>
      </c>
      <c r="F52" s="9"/>
      <c r="G52" s="28" t="s">
        <v>195</v>
      </c>
      <c r="H52" s="9"/>
      <c r="I52" s="28" t="s">
        <v>196</v>
      </c>
      <c r="J52" s="9"/>
      <c r="K52" s="28" t="s">
        <v>197</v>
      </c>
      <c r="L52" s="9"/>
      <c r="M52" s="28">
        <v>46186</v>
      </c>
      <c r="N52" s="28" t="s">
        <v>54</v>
      </c>
      <c r="O52" s="28"/>
      <c r="P52" s="4"/>
      <c r="Q52" s="4"/>
      <c r="R52" s="4"/>
      <c r="S52" s="4"/>
      <c r="T52" s="4"/>
      <c r="U52" s="4"/>
      <c r="V52" s="4"/>
      <c r="W52" s="4"/>
      <c r="X52" s="4"/>
      <c r="Y52" s="4"/>
      <c r="Z52" s="4"/>
    </row>
    <row r="53" ht="37.5" customHeight="1">
      <c r="A53" s="4"/>
      <c r="B53" s="4"/>
      <c r="C53" s="28" t="s">
        <v>198</v>
      </c>
      <c r="D53" s="28" t="s">
        <v>61</v>
      </c>
      <c r="E53" s="28" t="s">
        <v>199</v>
      </c>
      <c r="F53" s="9"/>
      <c r="G53" s="28" t="s">
        <v>200</v>
      </c>
      <c r="H53" s="9"/>
      <c r="I53" s="28" t="s">
        <v>201</v>
      </c>
      <c r="J53" s="9"/>
      <c r="K53" s="28" t="s">
        <v>202</v>
      </c>
      <c r="L53" s="9"/>
      <c r="M53" s="28">
        <v>46186</v>
      </c>
      <c r="N53" s="28" t="s">
        <v>54</v>
      </c>
      <c r="O53" s="28"/>
      <c r="P53" s="4"/>
      <c r="Q53" s="4"/>
      <c r="R53" s="4"/>
      <c r="S53" s="4"/>
      <c r="T53" s="4"/>
      <c r="U53" s="4"/>
      <c r="V53" s="4"/>
      <c r="W53" s="4"/>
      <c r="X53" s="4"/>
      <c r="Y53" s="4"/>
      <c r="Z53" s="4"/>
    </row>
    <row r="54" ht="35.25" customHeight="1">
      <c r="A54" s="4"/>
      <c r="B54" s="4"/>
      <c r="C54" s="28" t="s">
        <v>203</v>
      </c>
      <c r="D54" s="28" t="s">
        <v>61</v>
      </c>
      <c r="E54" s="28" t="s">
        <v>204</v>
      </c>
      <c r="F54" s="9"/>
      <c r="G54" s="28" t="s">
        <v>205</v>
      </c>
      <c r="H54" s="9"/>
      <c r="I54" s="28" t="s">
        <v>206</v>
      </c>
      <c r="J54" s="9"/>
      <c r="K54" s="28" t="s">
        <v>207</v>
      </c>
      <c r="L54" s="9"/>
      <c r="M54" s="28">
        <v>46186</v>
      </c>
      <c r="N54" s="28" t="s">
        <v>54</v>
      </c>
      <c r="O54" s="28"/>
      <c r="P54" s="4"/>
      <c r="Q54" s="4"/>
      <c r="R54" s="4"/>
      <c r="S54" s="4"/>
      <c r="T54" s="4"/>
      <c r="U54" s="4"/>
      <c r="V54" s="4"/>
      <c r="W54" s="4"/>
      <c r="X54" s="4"/>
      <c r="Y54" s="4"/>
      <c r="Z54" s="4"/>
    </row>
    <row r="55" ht="39" customHeight="1">
      <c r="A55" s="4"/>
      <c r="B55" s="4"/>
      <c r="C55" s="28" t="s">
        <v>208</v>
      </c>
      <c r="D55" s="28" t="s">
        <v>61</v>
      </c>
      <c r="E55" s="28" t="s">
        <v>209</v>
      </c>
      <c r="F55" s="9"/>
      <c r="G55" s="28" t="s">
        <v>210</v>
      </c>
      <c r="H55" s="9"/>
      <c r="I55" s="28" t="s">
        <v>211</v>
      </c>
      <c r="J55" s="9"/>
      <c r="K55" s="28" t="s">
        <v>212</v>
      </c>
      <c r="L55" s="9"/>
      <c r="M55" s="28">
        <v>46186</v>
      </c>
      <c r="N55" s="28" t="s">
        <v>54</v>
      </c>
      <c r="O55" s="28"/>
      <c r="P55" s="4"/>
      <c r="Q55" s="4"/>
      <c r="R55" s="4"/>
      <c r="S55" s="4"/>
      <c r="T55" s="4"/>
      <c r="U55" s="4"/>
      <c r="V55" s="4"/>
      <c r="W55" s="4"/>
      <c r="X55" s="4"/>
      <c r="Y55" s="4"/>
      <c r="Z55" s="4"/>
    </row>
    <row r="56" ht="39" customHeight="1">
      <c r="A56" s="4"/>
      <c r="B56" s="4"/>
      <c r="C56" s="28" t="s">
        <v>213</v>
      </c>
      <c r="D56" s="28" t="s">
        <v>61</v>
      </c>
      <c r="E56" s="28" t="s">
        <v>214</v>
      </c>
      <c r="F56" s="9"/>
      <c r="G56" s="28" t="s">
        <v>215</v>
      </c>
      <c r="H56" s="9"/>
      <c r="I56" s="28" t="s">
        <v>216</v>
      </c>
      <c r="J56" s="9"/>
      <c r="K56" s="28" t="s">
        <v>217</v>
      </c>
      <c r="L56" s="9"/>
      <c r="M56" s="28">
        <v>46186</v>
      </c>
      <c r="N56" s="28" t="s">
        <v>54</v>
      </c>
      <c r="O56" s="28"/>
      <c r="P56" s="4"/>
      <c r="Q56" s="4"/>
      <c r="R56" s="4"/>
      <c r="S56" s="4"/>
      <c r="T56" s="4"/>
      <c r="U56" s="4"/>
      <c r="V56" s="4"/>
      <c r="W56" s="4"/>
      <c r="X56" s="4"/>
      <c r="Y56" s="4"/>
      <c r="Z56" s="4"/>
    </row>
    <row r="57" ht="37.5" customHeight="1">
      <c r="A57" s="4"/>
      <c r="B57" s="4"/>
      <c r="C57" s="28" t="s">
        <v>218</v>
      </c>
      <c r="D57" s="28" t="s">
        <v>61</v>
      </c>
      <c r="E57" s="28" t="s">
        <v>219</v>
      </c>
      <c r="F57" s="9"/>
      <c r="G57" s="28" t="s">
        <v>220</v>
      </c>
      <c r="H57" s="9"/>
      <c r="I57" s="28" t="s">
        <v>221</v>
      </c>
      <c r="J57" s="9"/>
      <c r="K57" s="28" t="s">
        <v>222</v>
      </c>
      <c r="L57" s="9"/>
      <c r="M57" s="28">
        <v>46186</v>
      </c>
      <c r="N57" s="28" t="s">
        <v>54</v>
      </c>
      <c r="O57" s="28"/>
      <c r="P57" s="4"/>
      <c r="Q57" s="4"/>
      <c r="R57" s="4"/>
      <c r="S57" s="4"/>
      <c r="T57" s="4"/>
      <c r="U57" s="4"/>
      <c r="V57" s="4"/>
      <c r="W57" s="4"/>
      <c r="X57" s="4"/>
      <c r="Y57" s="4"/>
      <c r="Z57" s="4"/>
    </row>
    <row r="58" ht="36" customHeight="1">
      <c r="A58" s="4"/>
      <c r="B58" s="4"/>
      <c r="C58" s="28" t="s">
        <v>223</v>
      </c>
      <c r="D58" s="28" t="s">
        <v>61</v>
      </c>
      <c r="E58" s="28" t="s">
        <v>224</v>
      </c>
      <c r="F58" s="9"/>
      <c r="G58" s="28" t="s">
        <v>225</v>
      </c>
      <c r="H58" s="9"/>
      <c r="I58" s="28" t="s">
        <v>150</v>
      </c>
      <c r="J58" s="9"/>
      <c r="K58" s="28" t="s">
        <v>226</v>
      </c>
      <c r="L58" s="9"/>
      <c r="M58" s="28">
        <v>46186</v>
      </c>
      <c r="N58" s="28" t="s">
        <v>54</v>
      </c>
      <c r="O58" s="28"/>
      <c r="P58" s="4"/>
      <c r="Q58" s="4"/>
      <c r="R58" s="4"/>
      <c r="S58" s="4"/>
      <c r="T58" s="4"/>
      <c r="U58" s="4"/>
      <c r="V58" s="4"/>
      <c r="W58" s="4"/>
      <c r="X58" s="4"/>
      <c r="Y58" s="4"/>
      <c r="Z58" s="4"/>
    </row>
    <row r="59" ht="38.25" customHeight="1">
      <c r="A59" s="4"/>
      <c r="B59" s="4"/>
      <c r="C59" s="28" t="s">
        <v>227</v>
      </c>
      <c r="D59" s="29" t="s">
        <v>61</v>
      </c>
      <c r="E59" s="29" t="s">
        <v>228</v>
      </c>
      <c r="F59" s="9"/>
      <c r="G59" s="29" t="s">
        <v>229</v>
      </c>
      <c r="H59" s="9"/>
      <c r="I59" s="29" t="s">
        <v>230</v>
      </c>
      <c r="J59" s="9"/>
      <c r="K59" s="29" t="s">
        <v>231</v>
      </c>
      <c r="L59" s="9"/>
      <c r="M59" s="28">
        <v>46186</v>
      </c>
      <c r="N59" s="28" t="s">
        <v>54</v>
      </c>
      <c r="O59" s="28"/>
      <c r="P59" s="4"/>
      <c r="Q59" s="4"/>
      <c r="R59" s="4"/>
      <c r="S59" s="4"/>
      <c r="T59" s="4"/>
      <c r="U59" s="4"/>
      <c r="V59" s="4"/>
      <c r="W59" s="4"/>
      <c r="X59" s="4"/>
      <c r="Y59" s="4"/>
      <c r="Z59" s="4"/>
    </row>
    <row r="60" ht="40.5" customHeight="1">
      <c r="A60" s="4"/>
      <c r="B60" s="4"/>
      <c r="C60" s="28" t="s">
        <v>232</v>
      </c>
      <c r="D60" s="29" t="s">
        <v>61</v>
      </c>
      <c r="E60" s="29" t="s">
        <v>233</v>
      </c>
      <c r="F60" s="9"/>
      <c r="G60" s="29" t="s">
        <v>234</v>
      </c>
      <c r="H60" s="9"/>
      <c r="I60" s="29" t="s">
        <v>235</v>
      </c>
      <c r="J60" s="9"/>
      <c r="K60" s="29" t="s">
        <v>236</v>
      </c>
      <c r="L60" s="9"/>
      <c r="M60" s="28">
        <v>46186</v>
      </c>
      <c r="N60" s="28" t="s">
        <v>57</v>
      </c>
      <c r="O60" s="28" t="s">
        <v>237</v>
      </c>
      <c r="P60" s="4"/>
      <c r="Q60" s="4"/>
      <c r="R60" s="4"/>
      <c r="S60" s="4"/>
      <c r="T60" s="4"/>
      <c r="U60" s="4"/>
      <c r="V60" s="4"/>
      <c r="W60" s="4"/>
      <c r="X60" s="4"/>
      <c r="Y60" s="4"/>
      <c r="Z60" s="4"/>
    </row>
    <row r="61" ht="39.75" customHeight="1">
      <c r="A61" s="4"/>
      <c r="B61" s="4"/>
      <c r="C61" s="28" t="s">
        <v>238</v>
      </c>
      <c r="D61" s="29" t="s">
        <v>61</v>
      </c>
      <c r="E61" s="29" t="s">
        <v>239</v>
      </c>
      <c r="F61" s="9"/>
      <c r="G61" s="29" t="s">
        <v>240</v>
      </c>
      <c r="H61" s="9"/>
      <c r="I61" s="29" t="s">
        <v>241</v>
      </c>
      <c r="J61" s="9"/>
      <c r="K61" s="29" t="s">
        <v>242</v>
      </c>
      <c r="L61" s="9"/>
      <c r="M61" s="28">
        <v>46186</v>
      </c>
      <c r="N61" s="28" t="s">
        <v>54</v>
      </c>
      <c r="O61" s="28"/>
      <c r="P61" s="4"/>
      <c r="Q61" s="4"/>
      <c r="R61" s="4"/>
      <c r="S61" s="4"/>
      <c r="T61" s="4"/>
      <c r="U61" s="4"/>
      <c r="V61" s="4"/>
      <c r="W61" s="4"/>
      <c r="X61" s="4"/>
      <c r="Y61" s="4"/>
      <c r="Z61" s="4"/>
    </row>
    <row r="62" ht="36.75" customHeight="1">
      <c r="A62" s="4"/>
      <c r="B62" s="4"/>
      <c r="C62" s="28" t="s">
        <v>243</v>
      </c>
      <c r="D62" s="29" t="s">
        <v>61</v>
      </c>
      <c r="E62" s="29" t="s">
        <v>244</v>
      </c>
      <c r="F62" s="9"/>
      <c r="G62" s="29" t="s">
        <v>245</v>
      </c>
      <c r="H62" s="9"/>
      <c r="I62" s="29" t="s">
        <v>246</v>
      </c>
      <c r="J62" s="9"/>
      <c r="K62" s="29" t="s">
        <v>247</v>
      </c>
      <c r="L62" s="9"/>
      <c r="M62" s="28">
        <v>46186</v>
      </c>
      <c r="N62" s="28" t="s">
        <v>54</v>
      </c>
      <c r="O62" s="28"/>
      <c r="P62" s="4"/>
      <c r="Q62" s="4"/>
      <c r="R62" s="4"/>
      <c r="S62" s="4"/>
      <c r="T62" s="4"/>
      <c r="U62" s="4"/>
      <c r="V62" s="4"/>
      <c r="W62" s="4"/>
      <c r="X62" s="4"/>
      <c r="Y62" s="4"/>
      <c r="Z62" s="4"/>
    </row>
    <row r="63" ht="57.75" customHeight="1">
      <c r="A63" s="4"/>
      <c r="B63" s="4"/>
      <c r="C63" s="28" t="s">
        <v>248</v>
      </c>
      <c r="D63" s="29" t="s">
        <v>249</v>
      </c>
      <c r="E63" s="29" t="s">
        <v>250</v>
      </c>
      <c r="F63" s="9"/>
      <c r="G63" s="29" t="s">
        <v>251</v>
      </c>
      <c r="H63" s="9"/>
      <c r="I63" s="29" t="s">
        <v>252</v>
      </c>
      <c r="J63" s="9"/>
      <c r="K63" s="29" t="s">
        <v>253</v>
      </c>
      <c r="L63" s="9"/>
      <c r="M63" s="28">
        <v>46186</v>
      </c>
      <c r="N63" s="28" t="s">
        <v>54</v>
      </c>
      <c r="O63" s="28"/>
      <c r="P63" s="4"/>
      <c r="Q63" s="4"/>
      <c r="R63" s="4"/>
      <c r="S63" s="4"/>
      <c r="T63" s="4"/>
      <c r="U63" s="4"/>
      <c r="V63" s="4"/>
      <c r="W63" s="4"/>
      <c r="X63" s="4"/>
      <c r="Y63" s="4"/>
      <c r="Z63" s="4"/>
    </row>
    <row r="64" ht="14.25" customHeight="1">
      <c r="A64" s="4"/>
      <c r="B64" s="4"/>
      <c r="C64" s="27" t="s">
        <v>254</v>
      </c>
      <c r="D64" s="17"/>
      <c r="E64" s="17"/>
      <c r="F64" s="17"/>
      <c r="G64" s="17"/>
      <c r="H64" s="17"/>
      <c r="I64" s="17"/>
      <c r="J64" s="17"/>
      <c r="K64" s="17"/>
      <c r="L64" s="17"/>
      <c r="M64" s="17"/>
      <c r="N64" s="17"/>
      <c r="O64" s="9"/>
      <c r="P64" s="4"/>
      <c r="Q64" s="4"/>
      <c r="R64" s="4"/>
      <c r="S64" s="4"/>
      <c r="T64" s="4"/>
      <c r="U64" s="4"/>
      <c r="V64" s="4"/>
      <c r="W64" s="4"/>
      <c r="X64" s="4"/>
      <c r="Y64" s="4"/>
      <c r="Z64" s="4"/>
    </row>
    <row r="65" ht="29.25" customHeight="1">
      <c r="A65" s="4"/>
      <c r="B65" s="4"/>
      <c r="C65" s="28" t="s">
        <v>255</v>
      </c>
      <c r="D65" s="28" t="s">
        <v>89</v>
      </c>
      <c r="E65" s="28" t="s">
        <v>256</v>
      </c>
      <c r="F65" s="9"/>
      <c r="G65" s="28" t="s">
        <v>257</v>
      </c>
      <c r="H65" s="9"/>
      <c r="I65" s="28"/>
      <c r="J65" s="9"/>
      <c r="K65" s="28" t="s">
        <v>258</v>
      </c>
      <c r="L65" s="9"/>
      <c r="M65" s="28">
        <v>46186</v>
      </c>
      <c r="N65" s="28" t="s">
        <v>54</v>
      </c>
      <c r="O65" s="28"/>
      <c r="P65" s="4"/>
      <c r="Q65" s="4"/>
      <c r="R65" s="4"/>
      <c r="S65" s="4"/>
      <c r="T65" s="4"/>
      <c r="U65" s="4"/>
      <c r="V65" s="4"/>
      <c r="W65" s="4"/>
      <c r="X65" s="4"/>
      <c r="Y65" s="4"/>
      <c r="Z65" s="4"/>
    </row>
    <row r="66" ht="36.75" customHeight="1">
      <c r="A66" s="4"/>
      <c r="B66" s="4"/>
      <c r="C66" s="28" t="s">
        <v>259</v>
      </c>
      <c r="D66" s="28" t="s">
        <v>89</v>
      </c>
      <c r="E66" s="28" t="s">
        <v>260</v>
      </c>
      <c r="F66" s="9"/>
      <c r="G66" s="28" t="s">
        <v>261</v>
      </c>
      <c r="H66" s="9"/>
      <c r="I66" s="28"/>
      <c r="J66" s="9"/>
      <c r="K66" s="28" t="s">
        <v>262</v>
      </c>
      <c r="L66" s="9"/>
      <c r="M66" s="28">
        <v>46186</v>
      </c>
      <c r="N66" s="28" t="s">
        <v>54</v>
      </c>
      <c r="O66" s="28"/>
      <c r="P66" s="4"/>
      <c r="Q66" s="4"/>
      <c r="R66" s="4"/>
      <c r="S66" s="4"/>
      <c r="T66" s="4"/>
      <c r="U66" s="4"/>
      <c r="V66" s="4"/>
      <c r="W66" s="4"/>
      <c r="X66" s="4"/>
      <c r="Y66" s="4"/>
      <c r="Z66" s="4"/>
    </row>
    <row r="67" ht="36.75" customHeight="1">
      <c r="A67" s="4"/>
      <c r="B67" s="4"/>
      <c r="C67" s="28" t="s">
        <v>263</v>
      </c>
      <c r="D67" s="28" t="s">
        <v>89</v>
      </c>
      <c r="E67" s="28" t="s">
        <v>264</v>
      </c>
      <c r="F67" s="9"/>
      <c r="G67" s="28" t="s">
        <v>265</v>
      </c>
      <c r="H67" s="9"/>
      <c r="I67" s="28"/>
      <c r="J67" s="9"/>
      <c r="K67" s="28" t="s">
        <v>266</v>
      </c>
      <c r="L67" s="9"/>
      <c r="M67" s="28">
        <v>46186</v>
      </c>
      <c r="N67" s="28" t="s">
        <v>54</v>
      </c>
      <c r="O67" s="28"/>
      <c r="P67" s="4"/>
      <c r="Q67" s="4"/>
      <c r="R67" s="4"/>
      <c r="S67" s="4"/>
      <c r="T67" s="4"/>
      <c r="U67" s="4"/>
      <c r="V67" s="4"/>
      <c r="W67" s="4"/>
      <c r="X67" s="4"/>
      <c r="Y67" s="4"/>
      <c r="Z67" s="4"/>
    </row>
    <row r="68" ht="35.25" customHeight="1">
      <c r="A68" s="4"/>
      <c r="B68" s="4"/>
      <c r="C68" s="28" t="s">
        <v>267</v>
      </c>
      <c r="D68" s="28" t="s">
        <v>89</v>
      </c>
      <c r="E68" s="28" t="s">
        <v>268</v>
      </c>
      <c r="F68" s="9"/>
      <c r="G68" s="28" t="s">
        <v>269</v>
      </c>
      <c r="H68" s="9"/>
      <c r="I68" s="28"/>
      <c r="J68" s="9"/>
      <c r="K68" s="28" t="s">
        <v>270</v>
      </c>
      <c r="L68" s="9"/>
      <c r="M68" s="28">
        <v>46186</v>
      </c>
      <c r="N68" s="28" t="s">
        <v>54</v>
      </c>
      <c r="O68" s="28"/>
      <c r="P68" s="4"/>
      <c r="Q68" s="4"/>
      <c r="R68" s="4"/>
      <c r="S68" s="4"/>
      <c r="T68" s="4"/>
      <c r="U68" s="4"/>
      <c r="V68" s="4"/>
      <c r="W68" s="4"/>
      <c r="X68" s="4"/>
      <c r="Y68" s="4"/>
      <c r="Z68" s="4"/>
    </row>
    <row r="69" ht="264.75" customHeight="1">
      <c r="A69" s="4"/>
      <c r="B69" s="4"/>
      <c r="C69" s="28" t="s">
        <v>271</v>
      </c>
      <c r="D69" s="28" t="s">
        <v>61</v>
      </c>
      <c r="E69" s="28" t="s">
        <v>272</v>
      </c>
      <c r="F69" s="9"/>
      <c r="G69" s="28" t="s">
        <v>273</v>
      </c>
      <c r="H69" s="9"/>
      <c r="I69" s="28" t="s">
        <v>274</v>
      </c>
      <c r="J69" s="9"/>
      <c r="K69" s="28" t="s">
        <v>275</v>
      </c>
      <c r="L69" s="9"/>
      <c r="M69" s="28">
        <v>46186</v>
      </c>
      <c r="N69" s="28" t="s">
        <v>54</v>
      </c>
      <c r="O69" s="28"/>
      <c r="P69" s="4"/>
      <c r="Q69" s="4"/>
      <c r="R69" s="4"/>
      <c r="S69" s="4"/>
      <c r="T69" s="4"/>
      <c r="U69" s="4"/>
      <c r="V69" s="4"/>
      <c r="W69" s="4"/>
      <c r="X69" s="4"/>
      <c r="Y69" s="4"/>
      <c r="Z69" s="4"/>
    </row>
    <row r="70" ht="38.25" customHeight="1">
      <c r="A70" s="4"/>
      <c r="B70" s="4"/>
      <c r="C70" s="28" t="s">
        <v>276</v>
      </c>
      <c r="D70" s="28" t="s">
        <v>61</v>
      </c>
      <c r="E70" s="28" t="s">
        <v>277</v>
      </c>
      <c r="F70" s="9"/>
      <c r="G70" s="28" t="s">
        <v>278</v>
      </c>
      <c r="H70" s="9"/>
      <c r="I70" s="28" t="s">
        <v>279</v>
      </c>
      <c r="J70" s="9"/>
      <c r="K70" s="28" t="s">
        <v>280</v>
      </c>
      <c r="L70" s="9"/>
      <c r="M70" s="28">
        <v>46186</v>
      </c>
      <c r="N70" s="28" t="s">
        <v>54</v>
      </c>
      <c r="O70" s="28"/>
      <c r="P70" s="4"/>
      <c r="Q70" s="4"/>
      <c r="R70" s="4"/>
      <c r="S70" s="4"/>
      <c r="T70" s="4"/>
      <c r="U70" s="4"/>
      <c r="V70" s="4"/>
      <c r="W70" s="4"/>
      <c r="X70" s="4"/>
      <c r="Y70" s="4"/>
      <c r="Z70" s="4"/>
    </row>
    <row r="71" ht="33.75" customHeight="1">
      <c r="A71" s="4"/>
      <c r="B71" s="4"/>
      <c r="C71" s="28" t="s">
        <v>281</v>
      </c>
      <c r="D71" s="28" t="s">
        <v>61</v>
      </c>
      <c r="E71" s="28" t="s">
        <v>282</v>
      </c>
      <c r="F71" s="9"/>
      <c r="G71" s="28" t="s">
        <v>283</v>
      </c>
      <c r="H71" s="9"/>
      <c r="I71" s="28" t="s">
        <v>284</v>
      </c>
      <c r="J71" s="9"/>
      <c r="K71" s="28" t="s">
        <v>285</v>
      </c>
      <c r="L71" s="9"/>
      <c r="M71" s="28">
        <v>46186</v>
      </c>
      <c r="N71" s="28" t="s">
        <v>54</v>
      </c>
      <c r="O71" s="28"/>
      <c r="P71" s="4"/>
      <c r="Q71" s="4"/>
      <c r="R71" s="4"/>
      <c r="S71" s="4"/>
      <c r="T71" s="4"/>
      <c r="U71" s="4"/>
      <c r="V71" s="4"/>
      <c r="W71" s="4"/>
      <c r="X71" s="4"/>
      <c r="Y71" s="4"/>
      <c r="Z71" s="4"/>
    </row>
    <row r="72" ht="36" customHeight="1">
      <c r="A72" s="4"/>
      <c r="B72" s="4"/>
      <c r="C72" s="28" t="s">
        <v>286</v>
      </c>
      <c r="D72" s="28" t="s">
        <v>61</v>
      </c>
      <c r="E72" s="28" t="s">
        <v>287</v>
      </c>
      <c r="F72" s="9"/>
      <c r="G72" s="28" t="s">
        <v>288</v>
      </c>
      <c r="H72" s="9"/>
      <c r="I72" s="28" t="s">
        <v>289</v>
      </c>
      <c r="J72" s="9"/>
      <c r="K72" s="28" t="s">
        <v>290</v>
      </c>
      <c r="L72" s="9"/>
      <c r="M72" s="28">
        <v>46186</v>
      </c>
      <c r="N72" s="28" t="s">
        <v>54</v>
      </c>
      <c r="O72" s="28"/>
      <c r="P72" s="4"/>
      <c r="Q72" s="4"/>
      <c r="R72" s="4"/>
      <c r="S72" s="4"/>
      <c r="T72" s="4"/>
      <c r="U72" s="4"/>
      <c r="V72" s="4"/>
      <c r="W72" s="4"/>
      <c r="X72" s="4"/>
      <c r="Y72" s="4"/>
      <c r="Z72" s="4"/>
    </row>
    <row r="73" ht="30" customHeight="1">
      <c r="A73" s="4"/>
      <c r="B73" s="4"/>
      <c r="C73" s="28" t="s">
        <v>291</v>
      </c>
      <c r="D73" s="28" t="s">
        <v>61</v>
      </c>
      <c r="E73" s="28" t="s">
        <v>292</v>
      </c>
      <c r="F73" s="9"/>
      <c r="G73" s="28" t="s">
        <v>293</v>
      </c>
      <c r="H73" s="9"/>
      <c r="I73" s="28" t="s">
        <v>294</v>
      </c>
      <c r="J73" s="9"/>
      <c r="K73" s="28" t="s">
        <v>290</v>
      </c>
      <c r="L73" s="9"/>
      <c r="M73" s="28">
        <v>46186</v>
      </c>
      <c r="N73" s="28" t="s">
        <v>54</v>
      </c>
      <c r="O73" s="28"/>
      <c r="P73" s="4"/>
      <c r="Q73" s="4"/>
      <c r="R73" s="4"/>
      <c r="S73" s="4"/>
      <c r="T73" s="4"/>
      <c r="U73" s="4"/>
      <c r="V73" s="4"/>
      <c r="W73" s="4"/>
      <c r="X73" s="4"/>
      <c r="Y73" s="4"/>
      <c r="Z73" s="4"/>
    </row>
    <row r="74" ht="41.25" customHeight="1">
      <c r="A74" s="4"/>
      <c r="B74" s="4"/>
      <c r="C74" s="28" t="s">
        <v>295</v>
      </c>
      <c r="D74" s="28" t="s">
        <v>61</v>
      </c>
      <c r="E74" s="28" t="s">
        <v>296</v>
      </c>
      <c r="F74" s="9"/>
      <c r="G74" s="28" t="s">
        <v>297</v>
      </c>
      <c r="H74" s="9"/>
      <c r="I74" s="28" t="s">
        <v>298</v>
      </c>
      <c r="J74" s="9"/>
      <c r="K74" s="28" t="s">
        <v>299</v>
      </c>
      <c r="L74" s="9"/>
      <c r="M74" s="28">
        <v>46186</v>
      </c>
      <c r="N74" s="28" t="s">
        <v>54</v>
      </c>
      <c r="O74" s="28"/>
      <c r="P74" s="4"/>
      <c r="Q74" s="4"/>
      <c r="R74" s="4"/>
      <c r="S74" s="4"/>
      <c r="T74" s="4"/>
      <c r="U74" s="4"/>
      <c r="V74" s="4"/>
      <c r="W74" s="4"/>
      <c r="X74" s="4"/>
      <c r="Y74" s="4"/>
      <c r="Z74" s="4"/>
    </row>
    <row r="75" ht="37.5" customHeight="1">
      <c r="A75" s="4"/>
      <c r="B75" s="4"/>
      <c r="C75" s="28" t="s">
        <v>300</v>
      </c>
      <c r="D75" s="28" t="s">
        <v>61</v>
      </c>
      <c r="E75" s="28" t="s">
        <v>301</v>
      </c>
      <c r="F75" s="9"/>
      <c r="G75" s="28" t="s">
        <v>302</v>
      </c>
      <c r="H75" s="9"/>
      <c r="I75" s="28" t="s">
        <v>150</v>
      </c>
      <c r="J75" s="9"/>
      <c r="K75" s="28" t="s">
        <v>303</v>
      </c>
      <c r="L75" s="9"/>
      <c r="M75" s="28">
        <v>46186</v>
      </c>
      <c r="N75" s="28" t="s">
        <v>54</v>
      </c>
      <c r="O75" s="28"/>
      <c r="P75" s="4"/>
      <c r="Q75" s="4"/>
      <c r="R75" s="4"/>
      <c r="S75" s="4"/>
      <c r="T75" s="4"/>
      <c r="U75" s="4"/>
      <c r="V75" s="4"/>
      <c r="W75" s="4"/>
      <c r="X75" s="4"/>
      <c r="Y75" s="4"/>
      <c r="Z75" s="4"/>
    </row>
    <row r="76" ht="37.5" customHeight="1">
      <c r="A76" s="4"/>
      <c r="B76" s="4"/>
      <c r="C76" s="28" t="s">
        <v>304</v>
      </c>
      <c r="D76" s="28" t="s">
        <v>61</v>
      </c>
      <c r="E76" s="28" t="s">
        <v>305</v>
      </c>
      <c r="F76" s="9"/>
      <c r="G76" s="28" t="s">
        <v>306</v>
      </c>
      <c r="H76" s="9"/>
      <c r="I76" s="28" t="s">
        <v>307</v>
      </c>
      <c r="J76" s="9"/>
      <c r="K76" s="28" t="s">
        <v>308</v>
      </c>
      <c r="L76" s="9"/>
      <c r="M76" s="28">
        <v>46186</v>
      </c>
      <c r="N76" s="28" t="s">
        <v>54</v>
      </c>
      <c r="O76" s="28"/>
      <c r="P76" s="4"/>
      <c r="Q76" s="4"/>
      <c r="R76" s="4"/>
      <c r="S76" s="4"/>
      <c r="T76" s="4"/>
      <c r="U76" s="4"/>
      <c r="V76" s="4"/>
      <c r="W76" s="4"/>
      <c r="X76" s="4"/>
      <c r="Y76" s="4"/>
      <c r="Z76" s="4"/>
    </row>
    <row r="77" ht="39" customHeight="1">
      <c r="A77" s="4"/>
      <c r="B77" s="4"/>
      <c r="C77" s="28" t="s">
        <v>309</v>
      </c>
      <c r="D77" s="28" t="s">
        <v>61</v>
      </c>
      <c r="E77" s="28" t="s">
        <v>310</v>
      </c>
      <c r="F77" s="9"/>
      <c r="G77" s="28" t="s">
        <v>311</v>
      </c>
      <c r="H77" s="9"/>
      <c r="I77" s="28"/>
      <c r="J77" s="9"/>
      <c r="K77" s="28" t="s">
        <v>312</v>
      </c>
      <c r="L77" s="9"/>
      <c r="M77" s="28">
        <v>46186</v>
      </c>
      <c r="N77" s="28" t="s">
        <v>54</v>
      </c>
      <c r="O77" s="28"/>
      <c r="P77" s="4"/>
      <c r="Q77" s="4"/>
      <c r="R77" s="4"/>
      <c r="S77" s="4"/>
      <c r="T77" s="4"/>
      <c r="U77" s="4"/>
      <c r="V77" s="4"/>
      <c r="W77" s="4"/>
      <c r="X77" s="4"/>
      <c r="Y77" s="4"/>
      <c r="Z77" s="4"/>
    </row>
    <row r="78" ht="43.5" customHeight="1">
      <c r="A78" s="2"/>
      <c r="B78" s="2"/>
      <c r="C78" s="28" t="s">
        <v>313</v>
      </c>
      <c r="D78" s="28" t="s">
        <v>61</v>
      </c>
      <c r="E78" s="28" t="s">
        <v>314</v>
      </c>
      <c r="F78" s="9"/>
      <c r="G78" s="28" t="s">
        <v>315</v>
      </c>
      <c r="H78" s="9"/>
      <c r="I78" s="30" t="s">
        <v>316</v>
      </c>
      <c r="J78" s="9"/>
      <c r="K78" s="30" t="s">
        <v>317</v>
      </c>
      <c r="L78" s="9"/>
      <c r="M78" s="28">
        <v>46186</v>
      </c>
      <c r="N78" s="28" t="s">
        <v>54</v>
      </c>
      <c r="O78" s="28"/>
      <c r="P78" s="2"/>
      <c r="Q78" s="2"/>
      <c r="R78" s="2"/>
      <c r="S78" s="2"/>
      <c r="T78" s="2"/>
      <c r="U78" s="2"/>
      <c r="V78" s="2"/>
      <c r="W78" s="2"/>
      <c r="X78" s="2"/>
      <c r="Y78" s="2"/>
      <c r="Z78" s="2"/>
    </row>
    <row r="79" ht="43.5" customHeight="1">
      <c r="A79" s="2"/>
      <c r="B79" s="2"/>
      <c r="C79" s="28" t="s">
        <v>318</v>
      </c>
      <c r="D79" s="28" t="s">
        <v>61</v>
      </c>
      <c r="E79" s="28" t="s">
        <v>319</v>
      </c>
      <c r="F79" s="9"/>
      <c r="G79" s="28" t="s">
        <v>320</v>
      </c>
      <c r="H79" s="9"/>
      <c r="I79" s="30" t="s">
        <v>241</v>
      </c>
      <c r="J79" s="9"/>
      <c r="K79" s="30" t="s">
        <v>321</v>
      </c>
      <c r="L79" s="9"/>
      <c r="M79" s="28">
        <v>46186</v>
      </c>
      <c r="N79" s="28" t="s">
        <v>54</v>
      </c>
      <c r="O79" s="28"/>
      <c r="P79" s="2"/>
      <c r="Q79" s="2"/>
      <c r="R79" s="2"/>
      <c r="S79" s="2"/>
      <c r="T79" s="2"/>
      <c r="U79" s="2"/>
      <c r="V79" s="2"/>
      <c r="W79" s="2"/>
      <c r="X79" s="2"/>
      <c r="Y79" s="2"/>
      <c r="Z79" s="2"/>
    </row>
    <row r="80" ht="23.25" customHeight="1">
      <c r="A80" s="4"/>
      <c r="B80" s="4"/>
      <c r="C80" s="27" t="s">
        <v>322</v>
      </c>
      <c r="D80" s="17"/>
      <c r="E80" s="17"/>
      <c r="F80" s="17"/>
      <c r="G80" s="17"/>
      <c r="H80" s="17"/>
      <c r="I80" s="17"/>
      <c r="J80" s="17"/>
      <c r="K80" s="17"/>
      <c r="L80" s="17"/>
      <c r="M80" s="17"/>
      <c r="N80" s="17"/>
      <c r="O80" s="9"/>
      <c r="P80" s="4"/>
      <c r="Q80" s="4"/>
      <c r="R80" s="4"/>
      <c r="S80" s="4"/>
      <c r="T80" s="4"/>
      <c r="U80" s="4"/>
      <c r="V80" s="4"/>
      <c r="W80" s="4"/>
      <c r="X80" s="4"/>
      <c r="Y80" s="4"/>
      <c r="Z80" s="4"/>
    </row>
    <row r="81" ht="227.25" customHeight="1">
      <c r="A81" s="4"/>
      <c r="B81" s="4"/>
      <c r="C81" s="28" t="s">
        <v>323</v>
      </c>
      <c r="D81" s="28" t="s">
        <v>89</v>
      </c>
      <c r="E81" s="28" t="s">
        <v>324</v>
      </c>
      <c r="F81" s="9"/>
      <c r="G81" s="28" t="s">
        <v>325</v>
      </c>
      <c r="H81" s="9"/>
      <c r="I81" s="28"/>
      <c r="J81" s="9"/>
      <c r="K81" s="28" t="s">
        <v>326</v>
      </c>
      <c r="L81" s="9"/>
      <c r="M81" s="28">
        <v>46186</v>
      </c>
      <c r="N81" s="28" t="s">
        <v>54</v>
      </c>
      <c r="O81" s="28"/>
      <c r="P81" s="4"/>
      <c r="Q81" s="4"/>
      <c r="R81" s="4"/>
      <c r="S81" s="4"/>
      <c r="T81" s="4"/>
      <c r="U81" s="4"/>
      <c r="V81" s="4"/>
      <c r="W81" s="4"/>
      <c r="X81" s="4"/>
      <c r="Y81" s="4"/>
      <c r="Z81" s="4"/>
    </row>
    <row r="82" ht="222" customHeight="1">
      <c r="A82" s="4"/>
      <c r="B82" s="4"/>
      <c r="C82" s="28" t="s">
        <v>327</v>
      </c>
      <c r="D82" s="28" t="s">
        <v>89</v>
      </c>
      <c r="E82" s="28" t="s">
        <v>328</v>
      </c>
      <c r="F82" s="9"/>
      <c r="G82" s="28" t="s">
        <v>329</v>
      </c>
      <c r="H82" s="9"/>
      <c r="I82" s="28"/>
      <c r="J82" s="9"/>
      <c r="K82" s="28" t="s">
        <v>330</v>
      </c>
      <c r="L82" s="9"/>
      <c r="M82" s="28">
        <v>46186</v>
      </c>
      <c r="N82" s="28" t="s">
        <v>54</v>
      </c>
      <c r="O82" s="28"/>
      <c r="P82" s="4"/>
      <c r="Q82" s="4"/>
      <c r="R82" s="4"/>
      <c r="S82" s="4"/>
      <c r="T82" s="4"/>
      <c r="U82" s="4"/>
      <c r="V82" s="4"/>
      <c r="W82" s="4"/>
      <c r="X82" s="4"/>
      <c r="Y82" s="4"/>
      <c r="Z82" s="4"/>
    </row>
    <row r="83" ht="35.25" customHeight="1">
      <c r="A83" s="4"/>
      <c r="B83" s="4"/>
      <c r="C83" s="28" t="s">
        <v>331</v>
      </c>
      <c r="D83" s="28" t="s">
        <v>89</v>
      </c>
      <c r="E83" s="28" t="s">
        <v>332</v>
      </c>
      <c r="F83" s="9"/>
      <c r="G83" s="28" t="s">
        <v>333</v>
      </c>
      <c r="H83" s="9"/>
      <c r="I83" s="28"/>
      <c r="J83" s="9"/>
      <c r="K83" s="28" t="s">
        <v>334</v>
      </c>
      <c r="L83" s="9"/>
      <c r="M83" s="28">
        <v>46186</v>
      </c>
      <c r="N83" s="28" t="s">
        <v>54</v>
      </c>
      <c r="O83" s="28"/>
      <c r="P83" s="4"/>
      <c r="Q83" s="4"/>
      <c r="R83" s="4"/>
      <c r="S83" s="4"/>
      <c r="T83" s="4"/>
      <c r="U83" s="4"/>
      <c r="V83" s="4"/>
      <c r="W83" s="4"/>
      <c r="X83" s="4"/>
      <c r="Y83" s="4"/>
      <c r="Z83" s="4"/>
    </row>
    <row r="84" ht="38.25" customHeight="1">
      <c r="A84" s="4"/>
      <c r="B84" s="4"/>
      <c r="C84" s="28" t="s">
        <v>335</v>
      </c>
      <c r="D84" s="28" t="s">
        <v>61</v>
      </c>
      <c r="E84" s="28" t="s">
        <v>336</v>
      </c>
      <c r="F84" s="9"/>
      <c r="G84" s="28" t="s">
        <v>337</v>
      </c>
      <c r="H84" s="9"/>
      <c r="I84" s="28" t="s">
        <v>338</v>
      </c>
      <c r="J84" s="9"/>
      <c r="K84" s="28" t="s">
        <v>339</v>
      </c>
      <c r="L84" s="9"/>
      <c r="M84" s="28">
        <v>46186</v>
      </c>
      <c r="N84" s="28" t="s">
        <v>54</v>
      </c>
      <c r="O84" s="28"/>
      <c r="P84" s="4"/>
      <c r="Q84" s="4"/>
      <c r="R84" s="4"/>
      <c r="S84" s="4"/>
      <c r="T84" s="4"/>
      <c r="U84" s="4"/>
      <c r="V84" s="4"/>
      <c r="W84" s="4"/>
      <c r="X84" s="4"/>
      <c r="Y84" s="4"/>
      <c r="Z84" s="4"/>
    </row>
    <row r="85" ht="39.75" customHeight="1">
      <c r="A85" s="4"/>
      <c r="B85" s="4"/>
      <c r="C85" s="28" t="s">
        <v>340</v>
      </c>
      <c r="D85" s="28" t="s">
        <v>61</v>
      </c>
      <c r="E85" s="28" t="s">
        <v>341</v>
      </c>
      <c r="F85" s="9"/>
      <c r="G85" s="28" t="s">
        <v>342</v>
      </c>
      <c r="H85" s="9"/>
      <c r="I85" s="28" t="s">
        <v>343</v>
      </c>
      <c r="J85" s="9"/>
      <c r="K85" s="28" t="s">
        <v>339</v>
      </c>
      <c r="L85" s="9"/>
      <c r="M85" s="28">
        <v>46186</v>
      </c>
      <c r="N85" s="28" t="s">
        <v>54</v>
      </c>
      <c r="O85" s="28"/>
      <c r="P85" s="4"/>
      <c r="Q85" s="4"/>
      <c r="R85" s="4"/>
      <c r="S85" s="4"/>
      <c r="T85" s="4"/>
      <c r="U85" s="4"/>
      <c r="V85" s="4"/>
      <c r="W85" s="4"/>
      <c r="X85" s="4"/>
      <c r="Y85" s="4"/>
      <c r="Z85" s="4"/>
    </row>
    <row r="86" ht="36" customHeight="1">
      <c r="A86" s="4"/>
      <c r="B86" s="4"/>
      <c r="C86" s="28" t="s">
        <v>344</v>
      </c>
      <c r="D86" s="28" t="s">
        <v>61</v>
      </c>
      <c r="E86" s="28" t="s">
        <v>345</v>
      </c>
      <c r="F86" s="9"/>
      <c r="G86" s="28" t="s">
        <v>346</v>
      </c>
      <c r="H86" s="9"/>
      <c r="I86" s="28" t="s">
        <v>347</v>
      </c>
      <c r="J86" s="9"/>
      <c r="K86" s="28" t="s">
        <v>348</v>
      </c>
      <c r="L86" s="9"/>
      <c r="M86" s="28">
        <v>46186</v>
      </c>
      <c r="N86" s="28" t="s">
        <v>54</v>
      </c>
      <c r="O86" s="28"/>
      <c r="P86" s="4"/>
      <c r="Q86" s="4"/>
      <c r="R86" s="4"/>
      <c r="S86" s="4"/>
      <c r="T86" s="4"/>
      <c r="U86" s="4"/>
      <c r="V86" s="4"/>
      <c r="W86" s="4"/>
      <c r="X86" s="4"/>
      <c r="Y86" s="4"/>
      <c r="Z86" s="4"/>
    </row>
    <row r="87" ht="199.5" customHeight="1">
      <c r="A87" s="4"/>
      <c r="B87" s="4"/>
      <c r="C87" s="28" t="s">
        <v>349</v>
      </c>
      <c r="D87" s="28" t="s">
        <v>61</v>
      </c>
      <c r="E87" s="28" t="s">
        <v>350</v>
      </c>
      <c r="F87" s="9"/>
      <c r="G87" s="28" t="s">
        <v>351</v>
      </c>
      <c r="H87" s="9"/>
      <c r="I87" s="28" t="s">
        <v>352</v>
      </c>
      <c r="J87" s="9"/>
      <c r="K87" s="28" t="s">
        <v>353</v>
      </c>
      <c r="L87" s="9"/>
      <c r="M87" s="28">
        <v>46186</v>
      </c>
      <c r="N87" s="28" t="s">
        <v>54</v>
      </c>
      <c r="O87" s="28"/>
      <c r="P87" s="4"/>
      <c r="Q87" s="4"/>
      <c r="R87" s="4"/>
      <c r="S87" s="4"/>
      <c r="T87" s="4"/>
      <c r="U87" s="4"/>
      <c r="V87" s="4"/>
      <c r="W87" s="4"/>
      <c r="X87" s="4"/>
      <c r="Y87" s="4"/>
      <c r="Z87" s="4"/>
    </row>
    <row r="88" ht="45.75" customHeight="1">
      <c r="A88" s="4"/>
      <c r="B88" s="4"/>
      <c r="C88" s="28" t="s">
        <v>354</v>
      </c>
      <c r="D88" s="28" t="s">
        <v>61</v>
      </c>
      <c r="E88" s="28" t="s">
        <v>355</v>
      </c>
      <c r="F88" s="9"/>
      <c r="G88" s="28" t="s">
        <v>356</v>
      </c>
      <c r="H88" s="9"/>
      <c r="I88" s="28"/>
      <c r="J88" s="9"/>
      <c r="K88" s="28" t="s">
        <v>357</v>
      </c>
      <c r="L88" s="9"/>
      <c r="M88" s="28">
        <v>46186</v>
      </c>
      <c r="N88" s="28" t="s">
        <v>54</v>
      </c>
      <c r="O88" s="28"/>
      <c r="P88" s="4"/>
      <c r="Q88" s="4"/>
      <c r="R88" s="4"/>
      <c r="S88" s="4"/>
      <c r="T88" s="4"/>
      <c r="U88" s="4"/>
      <c r="V88" s="4"/>
      <c r="W88" s="4"/>
      <c r="X88" s="4"/>
      <c r="Y88" s="4"/>
      <c r="Z88" s="4"/>
    </row>
    <row r="89" ht="43.5" customHeight="1">
      <c r="A89" s="4"/>
      <c r="B89" s="4"/>
      <c r="C89" s="28" t="s">
        <v>358</v>
      </c>
      <c r="D89" s="28" t="s">
        <v>61</v>
      </c>
      <c r="E89" s="28" t="s">
        <v>359</v>
      </c>
      <c r="F89" s="9"/>
      <c r="G89" s="28" t="s">
        <v>360</v>
      </c>
      <c r="H89" s="9"/>
      <c r="I89" s="28"/>
      <c r="J89" s="9"/>
      <c r="K89" s="28" t="s">
        <v>361</v>
      </c>
      <c r="L89" s="9"/>
      <c r="M89" s="28">
        <v>46186</v>
      </c>
      <c r="N89" s="28" t="s">
        <v>54</v>
      </c>
      <c r="O89" s="28"/>
      <c r="P89" s="4"/>
      <c r="Q89" s="4"/>
      <c r="R89" s="4"/>
      <c r="S89" s="4"/>
      <c r="T89" s="4"/>
      <c r="U89" s="4"/>
      <c r="V89" s="4"/>
      <c r="W89" s="4"/>
      <c r="X89" s="4"/>
      <c r="Y89" s="4"/>
      <c r="Z89" s="4"/>
    </row>
    <row r="90" ht="39.75" customHeight="1">
      <c r="A90" s="4"/>
      <c r="B90" s="4"/>
      <c r="C90" s="28" t="s">
        <v>362</v>
      </c>
      <c r="D90" s="28" t="s">
        <v>61</v>
      </c>
      <c r="E90" s="28" t="s">
        <v>363</v>
      </c>
      <c r="F90" s="9"/>
      <c r="G90" s="28" t="s">
        <v>364</v>
      </c>
      <c r="H90" s="9"/>
      <c r="I90" s="28"/>
      <c r="J90" s="9"/>
      <c r="K90" s="28" t="s">
        <v>365</v>
      </c>
      <c r="L90" s="9"/>
      <c r="M90" s="28">
        <v>46186</v>
      </c>
      <c r="N90" s="28" t="s">
        <v>54</v>
      </c>
      <c r="O90" s="28"/>
      <c r="P90" s="4"/>
      <c r="Q90" s="4"/>
      <c r="R90" s="4"/>
      <c r="S90" s="4"/>
      <c r="T90" s="4"/>
      <c r="U90" s="4"/>
      <c r="V90" s="4"/>
      <c r="W90" s="4"/>
      <c r="X90" s="4"/>
      <c r="Y90" s="4"/>
      <c r="Z90" s="4"/>
    </row>
    <row r="91" ht="194.25" customHeight="1">
      <c r="A91" s="4"/>
      <c r="B91" s="4"/>
      <c r="C91" s="28" t="s">
        <v>366</v>
      </c>
      <c r="D91" s="28" t="s">
        <v>61</v>
      </c>
      <c r="E91" s="28" t="s">
        <v>367</v>
      </c>
      <c r="F91" s="9"/>
      <c r="G91" s="28" t="s">
        <v>368</v>
      </c>
      <c r="H91" s="9"/>
      <c r="I91" s="28"/>
      <c r="J91" s="9"/>
      <c r="K91" s="28" t="s">
        <v>369</v>
      </c>
      <c r="L91" s="9"/>
      <c r="M91" s="28">
        <v>46186</v>
      </c>
      <c r="N91" s="28" t="s">
        <v>54</v>
      </c>
      <c r="O91" s="28"/>
      <c r="P91" s="4"/>
      <c r="Q91" s="4"/>
      <c r="R91" s="4"/>
      <c r="S91" s="4"/>
      <c r="T91" s="4"/>
      <c r="U91" s="4"/>
      <c r="V91" s="4"/>
      <c r="W91" s="4"/>
      <c r="X91" s="4"/>
      <c r="Y91" s="4"/>
      <c r="Z91" s="4"/>
    </row>
    <row r="92" ht="35.25" customHeight="1">
      <c r="A92" s="4"/>
      <c r="B92" s="4"/>
      <c r="C92" s="28" t="s">
        <v>370</v>
      </c>
      <c r="D92" s="28" t="s">
        <v>61</v>
      </c>
      <c r="E92" s="28" t="s">
        <v>371</v>
      </c>
      <c r="F92" s="9"/>
      <c r="G92" s="28" t="s">
        <v>372</v>
      </c>
      <c r="H92" s="9"/>
      <c r="I92" s="28"/>
      <c r="J92" s="9"/>
      <c r="K92" s="28" t="s">
        <v>373</v>
      </c>
      <c r="L92" s="9"/>
      <c r="M92" s="28">
        <v>46186</v>
      </c>
      <c r="N92" s="28" t="s">
        <v>54</v>
      </c>
      <c r="O92" s="28"/>
      <c r="P92" s="4"/>
      <c r="Q92" s="4"/>
      <c r="R92" s="4"/>
      <c r="S92" s="4"/>
      <c r="T92" s="4"/>
      <c r="U92" s="4"/>
      <c r="V92" s="4"/>
      <c r="W92" s="4"/>
      <c r="X92" s="4"/>
      <c r="Y92" s="4"/>
      <c r="Z92" s="4"/>
    </row>
    <row r="93" ht="38.25" customHeight="1">
      <c r="A93" s="4"/>
      <c r="B93" s="4"/>
      <c r="C93" s="28" t="s">
        <v>374</v>
      </c>
      <c r="D93" s="28" t="s">
        <v>61</v>
      </c>
      <c r="E93" s="28" t="s">
        <v>375</v>
      </c>
      <c r="F93" s="9"/>
      <c r="G93" s="28" t="s">
        <v>376</v>
      </c>
      <c r="H93" s="9"/>
      <c r="I93" s="28" t="s">
        <v>150</v>
      </c>
      <c r="J93" s="9"/>
      <c r="K93" s="28" t="s">
        <v>377</v>
      </c>
      <c r="L93" s="9"/>
      <c r="M93" s="28">
        <v>46186</v>
      </c>
      <c r="N93" s="28" t="s">
        <v>54</v>
      </c>
      <c r="O93" s="28"/>
      <c r="P93" s="4"/>
      <c r="Q93" s="4"/>
      <c r="R93" s="4"/>
      <c r="S93" s="4"/>
      <c r="T93" s="4"/>
      <c r="U93" s="4"/>
      <c r="V93" s="4"/>
      <c r="W93" s="4"/>
      <c r="X93" s="4"/>
      <c r="Y93" s="4"/>
      <c r="Z93" s="4"/>
    </row>
    <row r="94" ht="41.25" customHeight="1">
      <c r="A94" s="4"/>
      <c r="B94" s="4"/>
      <c r="C94" s="28" t="s">
        <v>378</v>
      </c>
      <c r="D94" s="28" t="s">
        <v>249</v>
      </c>
      <c r="E94" s="28" t="s">
        <v>379</v>
      </c>
      <c r="F94" s="9"/>
      <c r="G94" s="28" t="s">
        <v>380</v>
      </c>
      <c r="H94" s="9"/>
      <c r="I94" s="28" t="s">
        <v>381</v>
      </c>
      <c r="J94" s="9"/>
      <c r="K94" s="28" t="s">
        <v>382</v>
      </c>
      <c r="L94" s="9"/>
      <c r="M94" s="28">
        <v>46186</v>
      </c>
      <c r="N94" s="28" t="s">
        <v>54</v>
      </c>
      <c r="O94" s="28"/>
      <c r="P94" s="4"/>
      <c r="Q94" s="4"/>
      <c r="R94" s="4"/>
      <c r="S94" s="4"/>
      <c r="T94" s="4"/>
      <c r="U94" s="4"/>
      <c r="V94" s="4"/>
      <c r="W94" s="4"/>
      <c r="X94" s="4"/>
      <c r="Y94" s="4"/>
      <c r="Z94" s="4"/>
    </row>
    <row r="95" ht="44.25" customHeight="1">
      <c r="A95" s="4"/>
      <c r="B95" s="4"/>
      <c r="C95" s="28" t="s">
        <v>383</v>
      </c>
      <c r="D95" s="28" t="s">
        <v>249</v>
      </c>
      <c r="E95" s="28" t="s">
        <v>384</v>
      </c>
      <c r="F95" s="9"/>
      <c r="G95" s="28" t="s">
        <v>385</v>
      </c>
      <c r="H95" s="9"/>
      <c r="I95" s="28" t="s">
        <v>386</v>
      </c>
      <c r="J95" s="9"/>
      <c r="K95" s="28" t="s">
        <v>387</v>
      </c>
      <c r="L95" s="9"/>
      <c r="M95" s="28">
        <v>46186</v>
      </c>
      <c r="N95" s="28" t="s">
        <v>54</v>
      </c>
      <c r="O95" s="28"/>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18">
    <mergeCell ref="E71:F71"/>
    <mergeCell ref="K33:L33"/>
    <mergeCell ref="G71:H71"/>
    <mergeCell ref="E79:F79"/>
    <mergeCell ref="E8:O8"/>
    <mergeCell ref="K35:L35"/>
    <mergeCell ref="E73:F73"/>
    <mergeCell ref="K81:L81"/>
    <mergeCell ref="G66:H66"/>
    <mergeCell ref="E10:O10"/>
    <mergeCell ref="I66:J66"/>
    <mergeCell ref="G68:H68"/>
    <mergeCell ref="K28:L28"/>
    <mergeCell ref="E53:F53"/>
    <mergeCell ref="I30:J30"/>
    <mergeCell ref="G59:H59"/>
    <mergeCell ref="K92:L92"/>
    <mergeCell ref="K30:L30"/>
    <mergeCell ref="E55:F55"/>
    <mergeCell ref="I46:J46"/>
    <mergeCell ref="E67:F67"/>
    <mergeCell ref="G67:H67"/>
    <mergeCell ref="G61:H61"/>
    <mergeCell ref="E48:F48"/>
    <mergeCell ref="I61:J61"/>
    <mergeCell ref="G48:H48"/>
    <mergeCell ref="I54:J54"/>
    <mergeCell ref="I41:J41"/>
    <mergeCell ref="F18:G18"/>
    <mergeCell ref="K41:L41"/>
    <mergeCell ref="G62:H62"/>
    <mergeCell ref="I56:J56"/>
    <mergeCell ref="K56:L56"/>
    <mergeCell ref="I43:J43"/>
    <mergeCell ref="K43:L43"/>
    <mergeCell ref="H19:I19"/>
    <mergeCell ref="E76:F76"/>
    <mergeCell ref="G76:H76"/>
    <mergeCell ref="H15:O15"/>
    <mergeCell ref="I59:J59"/>
    <mergeCell ref="C27:O27"/>
    <mergeCell ref="E92:F92"/>
    <mergeCell ref="K54:L54"/>
    <mergeCell ref="K29:L29"/>
    <mergeCell ref="E29:F29"/>
    <mergeCell ref="E94:F94"/>
    <mergeCell ref="K44:L44"/>
    <mergeCell ref="E69:F69"/>
    <mergeCell ref="K31:L31"/>
    <mergeCell ref="G69:H69"/>
    <mergeCell ref="E31:F31"/>
    <mergeCell ref="G87:H87"/>
    <mergeCell ref="I87:J87"/>
    <mergeCell ref="E77:F77"/>
    <mergeCell ref="I62:J62"/>
    <mergeCell ref="E95:F95"/>
    <mergeCell ref="E89:F89"/>
    <mergeCell ref="G95:H95"/>
    <mergeCell ref="G89:H89"/>
    <mergeCell ref="G51:H51"/>
    <mergeCell ref="C22:O22"/>
    <mergeCell ref="I51:J51"/>
    <mergeCell ref="E72:F72"/>
    <mergeCell ref="K57:L57"/>
    <mergeCell ref="I65:J65"/>
    <mergeCell ref="H20:I20"/>
    <mergeCell ref="E24:F24"/>
    <mergeCell ref="E88:F88"/>
    <mergeCell ref="E82:F82"/>
    <mergeCell ref="D21:E21"/>
    <mergeCell ref="G82:H82"/>
    <mergeCell ref="I75:J75"/>
    <mergeCell ref="K75:L75"/>
    <mergeCell ref="G83:H83"/>
    <mergeCell ref="I39:J39"/>
    <mergeCell ref="D18:E18"/>
    <mergeCell ref="K39:L39"/>
    <mergeCell ref="K70:L70"/>
    <mergeCell ref="I78:J78"/>
    <mergeCell ref="E37:F37"/>
    <mergeCell ref="E47:F47"/>
    <mergeCell ref="G72:H72"/>
    <mergeCell ref="K50:L50"/>
    <mergeCell ref="E63:F63"/>
    <mergeCell ref="I71:J71"/>
    <mergeCell ref="I58:J58"/>
    <mergeCell ref="K58:L58"/>
    <mergeCell ref="K52:L52"/>
    <mergeCell ref="I83:J83"/>
    <mergeCell ref="C16:O16"/>
    <mergeCell ref="E91:F91"/>
    <mergeCell ref="J21:K21"/>
    <mergeCell ref="K53:L53"/>
    <mergeCell ref="E85:F85"/>
    <mergeCell ref="L21:M21"/>
    <mergeCell ref="G91:H91"/>
    <mergeCell ref="G85:H85"/>
    <mergeCell ref="G84:H84"/>
    <mergeCell ref="E93:F93"/>
    <mergeCell ref="I84:J84"/>
    <mergeCell ref="K78:L78"/>
    <mergeCell ref="C5:O6"/>
    <mergeCell ref="G86:H86"/>
    <mergeCell ref="D19:E19"/>
    <mergeCell ref="I86:J86"/>
    <mergeCell ref="F19:G19"/>
    <mergeCell ref="K55:L55"/>
    <mergeCell ref="K79:L79"/>
    <mergeCell ref="E38:F38"/>
    <mergeCell ref="G38:H38"/>
    <mergeCell ref="F20:G20"/>
    <mergeCell ref="E40:F40"/>
    <mergeCell ref="G33:H33"/>
    <mergeCell ref="I33:J33"/>
    <mergeCell ref="C64:O64"/>
    <mergeCell ref="C8:D8"/>
    <mergeCell ref="G35:H35"/>
    <mergeCell ref="I35:J35"/>
    <mergeCell ref="K66:L66"/>
    <mergeCell ref="E66:F66"/>
    <mergeCell ref="I74:J74"/>
    <mergeCell ref="K74:L74"/>
    <mergeCell ref="K68:L68"/>
    <mergeCell ref="E68:F68"/>
    <mergeCell ref="C17:O17"/>
    <mergeCell ref="L18:M18"/>
    <mergeCell ref="N18:O18"/>
    <mergeCell ref="E59:F59"/>
    <mergeCell ref="E46:F46"/>
    <mergeCell ref="N19:O19"/>
    <mergeCell ref="E61:F61"/>
    <mergeCell ref="C23:M23"/>
    <mergeCell ref="E54:F54"/>
    <mergeCell ref="G54:H54"/>
    <mergeCell ref="E41:F41"/>
    <mergeCell ref="G41:H41"/>
    <mergeCell ref="E56:F56"/>
    <mergeCell ref="G56:H56"/>
    <mergeCell ref="E43:F43"/>
    <mergeCell ref="I34:J34"/>
    <mergeCell ref="G43:H43"/>
    <mergeCell ref="K34:L34"/>
    <mergeCell ref="I49:J49"/>
    <mergeCell ref="G36:H36"/>
    <mergeCell ref="C7:O7"/>
    <mergeCell ref="I36:J36"/>
    <mergeCell ref="K36:L36"/>
    <mergeCell ref="K94:L94"/>
    <mergeCell ref="C9:D9"/>
    <mergeCell ref="E9:O9"/>
    <mergeCell ref="K77:L77"/>
    <mergeCell ref="C11:D11"/>
    <mergeCell ref="E11:O11"/>
    <mergeCell ref="C25:O25"/>
    <mergeCell ref="G29:H29"/>
    <mergeCell ref="I29:J29"/>
    <mergeCell ref="G31:H31"/>
    <mergeCell ref="I31:J31"/>
    <mergeCell ref="K87:L87"/>
    <mergeCell ref="K49:L49"/>
    <mergeCell ref="N20:O20"/>
    <mergeCell ref="E62:F62"/>
    <mergeCell ref="K24:L24"/>
    <mergeCell ref="I95:J95"/>
    <mergeCell ref="I89:J89"/>
    <mergeCell ref="K95:L95"/>
    <mergeCell ref="K89:L89"/>
    <mergeCell ref="I26:J26"/>
    <mergeCell ref="K88:L88"/>
    <mergeCell ref="K26:L26"/>
    <mergeCell ref="E51:F51"/>
    <mergeCell ref="G57:H57"/>
    <mergeCell ref="K90:L90"/>
    <mergeCell ref="E65:F65"/>
    <mergeCell ref="G58:H58"/>
    <mergeCell ref="I52:J52"/>
    <mergeCell ref="I44:J44"/>
    <mergeCell ref="E75:F75"/>
    <mergeCell ref="K37:L37"/>
    <mergeCell ref="G75:H75"/>
    <mergeCell ref="E12:O12"/>
    <mergeCell ref="G70:H70"/>
    <mergeCell ref="I70:J70"/>
    <mergeCell ref="I57:J57"/>
    <mergeCell ref="I32:J32"/>
    <mergeCell ref="K32:L32"/>
    <mergeCell ref="K63:L63"/>
    <mergeCell ref="E90:F90"/>
    <mergeCell ref="G65:H65"/>
    <mergeCell ref="G60:H60"/>
    <mergeCell ref="K93:L93"/>
    <mergeCell ref="E58:F58"/>
    <mergeCell ref="I60:J60"/>
    <mergeCell ref="I45:J45"/>
    <mergeCell ref="E83:F83"/>
    <mergeCell ref="K45:L45"/>
    <mergeCell ref="F21:G21"/>
    <mergeCell ref="H21:I21"/>
    <mergeCell ref="I47:J47"/>
    <mergeCell ref="K47:L47"/>
    <mergeCell ref="E84:F84"/>
    <mergeCell ref="K46:L46"/>
    <mergeCell ref="E13:O13"/>
    <mergeCell ref="K40:L40"/>
    <mergeCell ref="E78:F78"/>
    <mergeCell ref="G78:H78"/>
    <mergeCell ref="E86:F86"/>
    <mergeCell ref="K71:L71"/>
    <mergeCell ref="G79:H79"/>
    <mergeCell ref="G73:H73"/>
    <mergeCell ref="I79:J79"/>
    <mergeCell ref="I73:J73"/>
    <mergeCell ref="K73:L73"/>
    <mergeCell ref="C80:O80"/>
    <mergeCell ref="E81:F81"/>
    <mergeCell ref="H14:O14"/>
    <mergeCell ref="E33:F33"/>
    <mergeCell ref="E35:F35"/>
    <mergeCell ref="C10:D10"/>
    <mergeCell ref="E28:F28"/>
    <mergeCell ref="G53:H53"/>
    <mergeCell ref="G28:H28"/>
    <mergeCell ref="I53:J53"/>
    <mergeCell ref="I28:J28"/>
    <mergeCell ref="E74:F74"/>
    <mergeCell ref="C42:O42"/>
    <mergeCell ref="G74:H74"/>
    <mergeCell ref="K59:L59"/>
    <mergeCell ref="I68:J68"/>
    <mergeCell ref="E30:F30"/>
    <mergeCell ref="G92:H92"/>
    <mergeCell ref="G30:H30"/>
    <mergeCell ref="I92:J92"/>
    <mergeCell ref="I55:J55"/>
    <mergeCell ref="I67:J67"/>
    <mergeCell ref="K61:L61"/>
    <mergeCell ref="I48:J48"/>
    <mergeCell ref="K48:L48"/>
    <mergeCell ref="H18:I18"/>
    <mergeCell ref="J18:K18"/>
    <mergeCell ref="K62:L62"/>
    <mergeCell ref="D20:E20"/>
    <mergeCell ref="G81:H81"/>
    <mergeCell ref="I81:J81"/>
    <mergeCell ref="J19:K19"/>
    <mergeCell ref="L19:M19"/>
    <mergeCell ref="E87:F87"/>
    <mergeCell ref="I76:J76"/>
    <mergeCell ref="K76:L76"/>
    <mergeCell ref="E34:F34"/>
    <mergeCell ref="G34:H34"/>
    <mergeCell ref="K67:L67"/>
    <mergeCell ref="E49:F49"/>
    <mergeCell ref="E36:F36"/>
    <mergeCell ref="G94:H94"/>
    <mergeCell ref="I94:J94"/>
    <mergeCell ref="G44:H44"/>
    <mergeCell ref="I69:J69"/>
    <mergeCell ref="K69:L69"/>
    <mergeCell ref="G77:H77"/>
    <mergeCell ref="I77:J77"/>
    <mergeCell ref="K51:L51"/>
    <mergeCell ref="I72:J72"/>
    <mergeCell ref="K72:L72"/>
    <mergeCell ref="G49:H49"/>
    <mergeCell ref="J20:K20"/>
    <mergeCell ref="L20:M20"/>
    <mergeCell ref="G24:H24"/>
    <mergeCell ref="I24:J24"/>
    <mergeCell ref="E26:F26"/>
    <mergeCell ref="G88:H88"/>
    <mergeCell ref="G26:H26"/>
    <mergeCell ref="I88:J88"/>
    <mergeCell ref="I82:J82"/>
    <mergeCell ref="K82:L82"/>
    <mergeCell ref="G90:H90"/>
    <mergeCell ref="E50:F50"/>
    <mergeCell ref="K83:L83"/>
    <mergeCell ref="E52:F52"/>
    <mergeCell ref="E39:F39"/>
    <mergeCell ref="G39:H39"/>
    <mergeCell ref="E44:F44"/>
    <mergeCell ref="K60:L60"/>
    <mergeCell ref="G37:H37"/>
    <mergeCell ref="I37:J37"/>
    <mergeCell ref="C12:D12"/>
    <mergeCell ref="E70:F70"/>
    <mergeCell ref="E57:F57"/>
    <mergeCell ref="E32:F32"/>
    <mergeCell ref="G32:H32"/>
    <mergeCell ref="K65:L65"/>
    <mergeCell ref="G63:H63"/>
    <mergeCell ref="I63:J63"/>
    <mergeCell ref="G50:H50"/>
    <mergeCell ref="I50:J50"/>
    <mergeCell ref="I90:J90"/>
    <mergeCell ref="G52:H52"/>
    <mergeCell ref="I91:J91"/>
    <mergeCell ref="N21:O21"/>
    <mergeCell ref="I85:J85"/>
    <mergeCell ref="K91:L91"/>
    <mergeCell ref="K85:L85"/>
    <mergeCell ref="G93:H93"/>
    <mergeCell ref="K84:L84"/>
    <mergeCell ref="I93:J93"/>
    <mergeCell ref="E60:F60"/>
    <mergeCell ref="N23:O23"/>
    <mergeCell ref="K86:L86"/>
    <mergeCell ref="E45:F45"/>
    <mergeCell ref="G45:H45"/>
    <mergeCell ref="G55:H55"/>
    <mergeCell ref="I38:J38"/>
    <mergeCell ref="G47:H47"/>
    <mergeCell ref="K38:L38"/>
    <mergeCell ref="C13:D13"/>
    <mergeCell ref="G46:H46"/>
    <mergeCell ref="G40:H40"/>
    <mergeCell ref="I40:J40"/>
  </mergeCells>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3" zoomScale="100" workbookViewId="0">
      <selection activeCell="A1" activeCellId="0" sqref="A1"/>
    </sheetView>
  </sheetViews>
  <sheetFormatPr baseColWidth="8" defaultColWidth="14.43" defaultRowHeight="14.25"/>
  <cols>
    <col bestFit="1" customWidth="1" min="1" max="1" style="1" width="5.57421875"/>
    <col bestFit="1" customWidth="1" min="2" max="2" style="1" width="13.28125"/>
    <col bestFit="1" customWidth="1" min="3" max="3" style="1" width="22.8515625"/>
    <col bestFit="1" customWidth="1" min="4" max="4" style="1" width="18.00390625"/>
    <col bestFit="1" customWidth="1" min="5" max="5" style="1" width="46.28125"/>
    <col bestFit="1" customWidth="1" min="6" max="6" style="1" width="33.28125"/>
    <col bestFit="1" customWidth="1" min="7" max="7" style="1" width="51.421875"/>
    <col bestFit="1" customWidth="1" min="8" max="8" style="1" width="63.8515625"/>
    <col bestFit="1" customWidth="1" min="9" max="9" style="1" width="40.57421875"/>
    <col bestFit="1" customWidth="1" min="10" max="10" style="1" width="10.57421875"/>
    <col customWidth="1" min="11" max="11" style="1" width="81.7109375"/>
    <col bestFit="1" customWidth="1" min="12" max="26" style="1" width="9.140625"/>
    <col customWidth="1" min="27" max="16384" style="1" width="14.43"/>
  </cols>
  <sheetData>
    <row r="1" ht="15.75" customHeight="1">
      <c r="A1" s="31"/>
      <c r="B1" s="32"/>
      <c r="C1" s="32"/>
      <c r="D1" s="32"/>
      <c r="E1" s="33"/>
      <c r="F1" s="33"/>
      <c r="G1" s="33"/>
      <c r="H1" s="33"/>
      <c r="I1" s="33"/>
      <c r="J1" s="34"/>
      <c r="K1" s="33"/>
      <c r="L1" s="35"/>
      <c r="M1" s="35"/>
      <c r="N1" s="35"/>
      <c r="O1" s="35"/>
      <c r="P1" s="35"/>
      <c r="Q1" s="35"/>
      <c r="R1" s="35"/>
      <c r="S1" s="35"/>
      <c r="T1" s="35"/>
      <c r="U1" s="35"/>
      <c r="V1" s="35"/>
      <c r="W1" s="35"/>
      <c r="X1" s="35"/>
      <c r="Y1" s="35"/>
      <c r="Z1" s="35"/>
    </row>
    <row r="2" ht="15.75" customHeight="1">
      <c r="A2" s="36" t="s">
        <v>54</v>
      </c>
      <c r="B2" s="9"/>
      <c r="C2" s="36" t="s">
        <v>55</v>
      </c>
      <c r="D2" s="36" t="s">
        <v>56</v>
      </c>
      <c r="E2" s="36" t="s">
        <v>57</v>
      </c>
      <c r="F2" s="36" t="s">
        <v>58</v>
      </c>
      <c r="G2" s="35"/>
      <c r="H2" s="35"/>
      <c r="I2" s="35"/>
      <c r="J2" s="37"/>
      <c r="K2" s="35"/>
      <c r="L2" s="35"/>
      <c r="M2" s="35"/>
      <c r="N2" s="35"/>
      <c r="O2" s="35"/>
      <c r="P2" s="35"/>
      <c r="Q2" s="35"/>
      <c r="R2" s="35"/>
      <c r="S2" s="35"/>
      <c r="T2" s="35"/>
      <c r="U2" s="35"/>
      <c r="V2" s="35"/>
      <c r="W2" s="35"/>
      <c r="X2" s="35"/>
      <c r="Y2" s="35"/>
      <c r="Z2" s="35"/>
    </row>
    <row r="3" ht="15.75" customHeight="1">
      <c r="A3" s="38">
        <v>49</v>
      </c>
      <c r="B3" s="15"/>
      <c r="C3" s="23">
        <f>COUNTIF(J6:J253, "Fail")</f>
        <v>0</v>
      </c>
      <c r="D3" s="39"/>
      <c r="E3" s="23">
        <f>COUNTIF(J6:J253, "N/A")</f>
        <v>0</v>
      </c>
      <c r="F3" s="23">
        <v>49</v>
      </c>
      <c r="G3" s="35"/>
      <c r="H3" s="35"/>
      <c r="I3" s="35"/>
      <c r="J3" s="37"/>
      <c r="K3" s="35"/>
      <c r="L3" s="35"/>
      <c r="M3" s="35"/>
      <c r="N3" s="35"/>
      <c r="O3" s="35"/>
      <c r="P3" s="35"/>
      <c r="Q3" s="35"/>
      <c r="R3" s="35"/>
      <c r="S3" s="35"/>
      <c r="T3" s="35"/>
      <c r="U3" s="35"/>
      <c r="V3" s="35"/>
      <c r="W3" s="35"/>
      <c r="X3" s="35"/>
      <c r="Y3" s="35"/>
      <c r="Z3" s="35"/>
    </row>
    <row r="4" ht="15.75" customHeight="1">
      <c r="A4" s="40"/>
      <c r="B4" s="32"/>
      <c r="C4" s="32"/>
      <c r="D4" s="32"/>
      <c r="E4" s="41"/>
      <c r="F4" s="41"/>
      <c r="G4" s="41"/>
      <c r="H4" s="41"/>
      <c r="I4" s="41"/>
      <c r="J4" s="42"/>
      <c r="K4" s="41"/>
      <c r="L4" s="35"/>
      <c r="M4" s="35"/>
      <c r="N4" s="35"/>
      <c r="O4" s="35"/>
      <c r="P4" s="35"/>
      <c r="Q4" s="35"/>
      <c r="R4" s="35"/>
      <c r="S4" s="35"/>
      <c r="T4" s="35"/>
      <c r="U4" s="35"/>
      <c r="V4" s="35"/>
      <c r="W4" s="35"/>
      <c r="X4" s="35"/>
      <c r="Y4" s="35"/>
      <c r="Z4" s="35"/>
    </row>
    <row r="5" ht="15.75" customHeight="1">
      <c r="A5" s="43" t="s">
        <v>60</v>
      </c>
      <c r="B5" s="43" t="s">
        <v>388</v>
      </c>
      <c r="C5" s="43" t="s">
        <v>389</v>
      </c>
      <c r="D5" s="43" t="s">
        <v>390</v>
      </c>
      <c r="E5" s="43" t="s">
        <v>391</v>
      </c>
      <c r="F5" s="43" t="s">
        <v>392</v>
      </c>
      <c r="G5" s="43" t="s">
        <v>82</v>
      </c>
      <c r="H5" s="43" t="s">
        <v>83</v>
      </c>
      <c r="I5" s="43" t="s">
        <v>66</v>
      </c>
      <c r="J5" s="43" t="s">
        <v>393</v>
      </c>
      <c r="K5" s="43" t="s">
        <v>394</v>
      </c>
      <c r="L5" s="35"/>
      <c r="M5" s="35"/>
      <c r="N5" s="35"/>
      <c r="O5" s="35"/>
      <c r="P5" s="35"/>
      <c r="Q5" s="35"/>
      <c r="R5" s="35"/>
      <c r="S5" s="35"/>
      <c r="T5" s="35"/>
      <c r="U5" s="35"/>
      <c r="V5" s="35"/>
      <c r="W5" s="35"/>
      <c r="X5" s="35"/>
      <c r="Y5" s="35"/>
      <c r="Z5" s="35"/>
    </row>
    <row r="6" ht="15.75" customHeight="1">
      <c r="A6" s="39">
        <v>1</v>
      </c>
      <c r="B6" s="39" t="s">
        <v>395</v>
      </c>
      <c r="C6" s="44" t="s">
        <v>396</v>
      </c>
      <c r="D6" s="45" t="s">
        <v>397</v>
      </c>
      <c r="E6" s="45" t="s">
        <v>398</v>
      </c>
      <c r="F6" s="45" t="s">
        <v>399</v>
      </c>
      <c r="G6" s="45" t="s">
        <v>400</v>
      </c>
      <c r="H6" s="45" t="s">
        <v>401</v>
      </c>
      <c r="I6" s="45" t="s">
        <v>402</v>
      </c>
      <c r="J6" s="45" t="s">
        <v>403</v>
      </c>
      <c r="K6" s="46"/>
      <c r="L6" s="35"/>
      <c r="M6" s="35"/>
      <c r="N6" s="35"/>
      <c r="O6" s="35"/>
      <c r="P6" s="35"/>
      <c r="Q6" s="35"/>
      <c r="R6" s="35"/>
      <c r="S6" s="35"/>
      <c r="T6" s="35"/>
      <c r="U6" s="35"/>
      <c r="V6" s="35"/>
      <c r="W6" s="35"/>
      <c r="X6" s="35"/>
      <c r="Y6" s="35"/>
      <c r="Z6" s="35"/>
    </row>
    <row r="7" ht="15.75" customHeight="1">
      <c r="A7" s="39">
        <v>2</v>
      </c>
      <c r="B7" s="39" t="s">
        <v>404</v>
      </c>
      <c r="C7" s="47"/>
      <c r="D7" s="45" t="s">
        <v>397</v>
      </c>
      <c r="E7" s="45" t="s">
        <v>405</v>
      </c>
      <c r="F7" s="45" t="s">
        <v>406</v>
      </c>
      <c r="G7" s="45" t="s">
        <v>407</v>
      </c>
      <c r="H7" s="45" t="s">
        <v>408</v>
      </c>
      <c r="I7" s="45" t="s">
        <v>409</v>
      </c>
      <c r="J7" s="45" t="s">
        <v>403</v>
      </c>
      <c r="K7" s="47"/>
      <c r="L7" s="35"/>
      <c r="M7" s="35"/>
      <c r="N7" s="35"/>
      <c r="O7" s="35"/>
      <c r="P7" s="35"/>
      <c r="Q7" s="35"/>
      <c r="R7" s="35"/>
      <c r="S7" s="35"/>
      <c r="T7" s="35"/>
      <c r="U7" s="35"/>
      <c r="V7" s="35"/>
      <c r="W7" s="35"/>
      <c r="X7" s="35"/>
      <c r="Y7" s="35"/>
      <c r="Z7" s="35"/>
    </row>
    <row r="8" ht="15.75" customHeight="1">
      <c r="A8" s="39">
        <v>3</v>
      </c>
      <c r="B8" s="39" t="s">
        <v>410</v>
      </c>
      <c r="C8" s="47"/>
      <c r="D8" s="45" t="s">
        <v>397</v>
      </c>
      <c r="E8" s="45" t="s">
        <v>411</v>
      </c>
      <c r="F8" s="45" t="s">
        <v>412</v>
      </c>
      <c r="G8" s="45" t="s">
        <v>413</v>
      </c>
      <c r="H8" s="45" t="s">
        <v>414</v>
      </c>
      <c r="I8" s="45" t="s">
        <v>415</v>
      </c>
      <c r="J8" s="45" t="s">
        <v>403</v>
      </c>
      <c r="K8" s="47"/>
      <c r="L8" s="35"/>
      <c r="M8" s="35"/>
      <c r="N8" s="35"/>
      <c r="O8" s="35"/>
      <c r="P8" s="35"/>
      <c r="Q8" s="35"/>
      <c r="R8" s="35"/>
      <c r="S8" s="35"/>
      <c r="T8" s="35"/>
      <c r="U8" s="35"/>
      <c r="V8" s="35"/>
      <c r="W8" s="35"/>
      <c r="X8" s="35"/>
      <c r="Y8" s="35"/>
      <c r="Z8" s="35"/>
    </row>
    <row r="9" ht="15.75" customHeight="1">
      <c r="A9" s="39">
        <v>4</v>
      </c>
      <c r="B9" s="39" t="s">
        <v>416</v>
      </c>
      <c r="C9" s="47"/>
      <c r="D9" s="45" t="s">
        <v>397</v>
      </c>
      <c r="E9" s="45" t="s">
        <v>417</v>
      </c>
      <c r="F9" s="45" t="s">
        <v>418</v>
      </c>
      <c r="G9" s="45" t="s">
        <v>419</v>
      </c>
      <c r="H9" s="45" t="s">
        <v>420</v>
      </c>
      <c r="I9" s="45" t="s">
        <v>421</v>
      </c>
      <c r="J9" s="45" t="s">
        <v>403</v>
      </c>
      <c r="K9" s="47"/>
      <c r="L9" s="35"/>
      <c r="M9" s="35"/>
      <c r="N9" s="35"/>
      <c r="O9" s="35"/>
      <c r="P9" s="35"/>
      <c r="Q9" s="35"/>
      <c r="R9" s="35"/>
      <c r="S9" s="35"/>
      <c r="T9" s="35"/>
      <c r="U9" s="35"/>
      <c r="V9" s="35"/>
      <c r="W9" s="35"/>
      <c r="X9" s="35"/>
      <c r="Y9" s="35"/>
      <c r="Z9" s="35"/>
    </row>
    <row r="10" ht="15.75" customHeight="1">
      <c r="A10" s="39">
        <v>5</v>
      </c>
      <c r="B10" s="39" t="s">
        <v>422</v>
      </c>
      <c r="C10" s="47"/>
      <c r="D10" s="45" t="s">
        <v>397</v>
      </c>
      <c r="E10" s="45" t="s">
        <v>423</v>
      </c>
      <c r="F10" s="45" t="s">
        <v>418</v>
      </c>
      <c r="G10" s="45" t="s">
        <v>424</v>
      </c>
      <c r="H10" s="45" t="s">
        <v>420</v>
      </c>
      <c r="I10" s="45" t="s">
        <v>421</v>
      </c>
      <c r="J10" s="45" t="s">
        <v>403</v>
      </c>
      <c r="K10" s="47"/>
      <c r="L10" s="35"/>
      <c r="M10" s="35"/>
      <c r="N10" s="35"/>
      <c r="O10" s="35"/>
      <c r="P10" s="35"/>
      <c r="Q10" s="35"/>
      <c r="R10" s="35"/>
      <c r="S10" s="35"/>
      <c r="T10" s="35"/>
      <c r="U10" s="35"/>
      <c r="V10" s="35"/>
      <c r="W10" s="35"/>
      <c r="X10" s="35"/>
      <c r="Y10" s="35"/>
      <c r="Z10" s="35"/>
    </row>
    <row r="11" ht="15.75" customHeight="1">
      <c r="A11" s="39">
        <v>6</v>
      </c>
      <c r="B11" s="39" t="s">
        <v>425</v>
      </c>
      <c r="C11" s="47"/>
      <c r="D11" s="45" t="s">
        <v>397</v>
      </c>
      <c r="E11" s="45" t="s">
        <v>426</v>
      </c>
      <c r="F11" s="45" t="s">
        <v>418</v>
      </c>
      <c r="G11" s="45" t="s">
        <v>427</v>
      </c>
      <c r="H11" s="45" t="s">
        <v>428</v>
      </c>
      <c r="I11" s="45" t="s">
        <v>421</v>
      </c>
      <c r="J11" s="45" t="s">
        <v>403</v>
      </c>
      <c r="K11" s="47"/>
      <c r="L11" s="35"/>
      <c r="M11" s="35"/>
      <c r="N11" s="35"/>
      <c r="O11" s="35"/>
      <c r="P11" s="35"/>
      <c r="Q11" s="35"/>
      <c r="R11" s="35"/>
      <c r="S11" s="35"/>
      <c r="T11" s="35"/>
      <c r="U11" s="35"/>
      <c r="V11" s="35"/>
      <c r="W11" s="35"/>
      <c r="X11" s="35"/>
      <c r="Y11" s="35"/>
      <c r="Z11" s="35"/>
    </row>
    <row r="12" ht="15.75" customHeight="1">
      <c r="A12" s="39">
        <v>7</v>
      </c>
      <c r="B12" s="39" t="s">
        <v>429</v>
      </c>
      <c r="C12" s="47"/>
      <c r="D12" s="45" t="s">
        <v>397</v>
      </c>
      <c r="E12" s="45" t="s">
        <v>430</v>
      </c>
      <c r="F12" s="45" t="s">
        <v>431</v>
      </c>
      <c r="G12" s="45" t="s">
        <v>432</v>
      </c>
      <c r="H12" s="45" t="s">
        <v>433</v>
      </c>
      <c r="I12" s="45" t="s">
        <v>434</v>
      </c>
      <c r="J12" s="45" t="s">
        <v>403</v>
      </c>
      <c r="K12" s="47"/>
      <c r="L12" s="35"/>
      <c r="M12" s="35"/>
      <c r="N12" s="35"/>
      <c r="O12" s="35"/>
      <c r="P12" s="35"/>
      <c r="Q12" s="35"/>
      <c r="R12" s="35"/>
      <c r="S12" s="35"/>
      <c r="T12" s="35"/>
      <c r="U12" s="35"/>
      <c r="V12" s="35"/>
      <c r="W12" s="35"/>
      <c r="X12" s="35"/>
      <c r="Y12" s="35"/>
      <c r="Z12" s="35"/>
    </row>
    <row r="13" ht="15.75" customHeight="1">
      <c r="A13" s="39">
        <v>8</v>
      </c>
      <c r="B13" s="39" t="s">
        <v>435</v>
      </c>
      <c r="C13" s="47"/>
      <c r="D13" s="45" t="s">
        <v>436</v>
      </c>
      <c r="E13" s="45" t="s">
        <v>437</v>
      </c>
      <c r="F13" s="45" t="s">
        <v>438</v>
      </c>
      <c r="G13" s="45" t="s">
        <v>439</v>
      </c>
      <c r="H13" s="45" t="s">
        <v>440</v>
      </c>
      <c r="I13" s="45" t="s">
        <v>441</v>
      </c>
      <c r="J13" s="45" t="s">
        <v>403</v>
      </c>
      <c r="K13" s="47"/>
      <c r="L13" s="35"/>
      <c r="M13" s="35"/>
      <c r="N13" s="35"/>
      <c r="O13" s="35"/>
      <c r="P13" s="35"/>
      <c r="Q13" s="35"/>
      <c r="R13" s="35"/>
      <c r="S13" s="35"/>
      <c r="T13" s="35"/>
      <c r="U13" s="35"/>
      <c r="V13" s="35"/>
      <c r="W13" s="35"/>
      <c r="X13" s="35"/>
      <c r="Y13" s="35"/>
      <c r="Z13" s="35"/>
    </row>
    <row r="14" ht="15.75" customHeight="1">
      <c r="A14" s="39">
        <v>9</v>
      </c>
      <c r="B14" s="39" t="s">
        <v>442</v>
      </c>
      <c r="C14" s="47"/>
      <c r="D14" s="45" t="s">
        <v>436</v>
      </c>
      <c r="E14" s="45" t="s">
        <v>443</v>
      </c>
      <c r="F14" s="45" t="s">
        <v>444</v>
      </c>
      <c r="G14" s="45" t="s">
        <v>445</v>
      </c>
      <c r="H14" s="45" t="s">
        <v>446</v>
      </c>
      <c r="I14" s="45" t="s">
        <v>447</v>
      </c>
      <c r="J14" s="45" t="s">
        <v>403</v>
      </c>
      <c r="K14" s="47"/>
      <c r="L14" s="35"/>
      <c r="M14" s="35"/>
      <c r="N14" s="35"/>
      <c r="O14" s="35"/>
      <c r="P14" s="35"/>
      <c r="Q14" s="35"/>
      <c r="R14" s="35"/>
      <c r="S14" s="35"/>
      <c r="T14" s="35"/>
      <c r="U14" s="35"/>
      <c r="V14" s="35"/>
      <c r="W14" s="35"/>
      <c r="X14" s="35"/>
      <c r="Y14" s="35"/>
      <c r="Z14" s="35"/>
    </row>
    <row r="15" ht="15.75" customHeight="1">
      <c r="A15" s="39">
        <v>10</v>
      </c>
      <c r="B15" s="39" t="s">
        <v>448</v>
      </c>
      <c r="C15" s="48"/>
      <c r="D15" s="45" t="s">
        <v>436</v>
      </c>
      <c r="E15" s="45" t="s">
        <v>449</v>
      </c>
      <c r="F15" s="45" t="s">
        <v>450</v>
      </c>
      <c r="G15" s="45" t="s">
        <v>451</v>
      </c>
      <c r="H15" s="45" t="s">
        <v>452</v>
      </c>
      <c r="I15" s="45" t="s">
        <v>453</v>
      </c>
      <c r="J15" s="45" t="s">
        <v>403</v>
      </c>
      <c r="K15" s="47"/>
      <c r="L15" s="35"/>
      <c r="M15" s="35"/>
      <c r="N15" s="35"/>
      <c r="O15" s="35"/>
      <c r="P15" s="35"/>
      <c r="Q15" s="35"/>
      <c r="R15" s="35"/>
      <c r="S15" s="35"/>
      <c r="T15" s="35"/>
      <c r="U15" s="35"/>
      <c r="V15" s="35"/>
      <c r="W15" s="35"/>
      <c r="X15" s="35"/>
      <c r="Y15" s="35"/>
      <c r="Z15" s="35"/>
    </row>
    <row r="16" ht="15.75" customHeight="1">
      <c r="A16" s="39">
        <v>11</v>
      </c>
      <c r="B16" s="39" t="s">
        <v>454</v>
      </c>
      <c r="C16" s="44" t="s">
        <v>455</v>
      </c>
      <c r="D16" s="45" t="s">
        <v>397</v>
      </c>
      <c r="E16" s="45" t="s">
        <v>456</v>
      </c>
      <c r="F16" s="45" t="s">
        <v>457</v>
      </c>
      <c r="G16" s="45" t="s">
        <v>458</v>
      </c>
      <c r="H16" s="45" t="s">
        <v>459</v>
      </c>
      <c r="I16" s="45" t="s">
        <v>460</v>
      </c>
      <c r="J16" s="45" t="s">
        <v>403</v>
      </c>
      <c r="K16" s="47"/>
      <c r="L16" s="35"/>
      <c r="M16" s="35"/>
      <c r="N16" s="35"/>
      <c r="O16" s="35"/>
      <c r="P16" s="35"/>
      <c r="Q16" s="35"/>
      <c r="R16" s="35"/>
      <c r="S16" s="35"/>
      <c r="T16" s="35"/>
      <c r="U16" s="35"/>
      <c r="V16" s="35"/>
      <c r="W16" s="35"/>
      <c r="X16" s="35"/>
      <c r="Y16" s="35"/>
      <c r="Z16" s="35"/>
    </row>
    <row r="17" ht="15.75" customHeight="1">
      <c r="A17" s="39">
        <v>12</v>
      </c>
      <c r="B17" s="39" t="s">
        <v>461</v>
      </c>
      <c r="C17" s="47"/>
      <c r="D17" s="45" t="s">
        <v>397</v>
      </c>
      <c r="E17" s="45" t="s">
        <v>462</v>
      </c>
      <c r="F17" s="45" t="s">
        <v>463</v>
      </c>
      <c r="G17" s="45" t="s">
        <v>464</v>
      </c>
      <c r="H17" s="45" t="s">
        <v>465</v>
      </c>
      <c r="I17" s="45" t="s">
        <v>466</v>
      </c>
      <c r="J17" s="45" t="s">
        <v>403</v>
      </c>
      <c r="K17" s="47"/>
      <c r="L17" s="35"/>
      <c r="M17" s="35"/>
      <c r="N17" s="35"/>
      <c r="O17" s="35"/>
      <c r="P17" s="35"/>
      <c r="Q17" s="35"/>
      <c r="R17" s="35"/>
      <c r="S17" s="35"/>
      <c r="T17" s="35"/>
      <c r="U17" s="35"/>
      <c r="V17" s="35"/>
      <c r="W17" s="35"/>
      <c r="X17" s="35"/>
      <c r="Y17" s="35"/>
      <c r="Z17" s="35"/>
    </row>
    <row r="18" ht="15.75" customHeight="1">
      <c r="A18" s="39">
        <v>13</v>
      </c>
      <c r="B18" s="39" t="s">
        <v>467</v>
      </c>
      <c r="C18" s="47"/>
      <c r="D18" s="45" t="s">
        <v>397</v>
      </c>
      <c r="E18" s="45" t="s">
        <v>468</v>
      </c>
      <c r="F18" s="45" t="s">
        <v>469</v>
      </c>
      <c r="G18" s="45" t="s">
        <v>470</v>
      </c>
      <c r="H18" s="45" t="s">
        <v>471</v>
      </c>
      <c r="I18" s="45" t="s">
        <v>472</v>
      </c>
      <c r="J18" s="45" t="s">
        <v>403</v>
      </c>
      <c r="K18" s="47"/>
      <c r="L18" s="35"/>
      <c r="M18" s="35"/>
      <c r="N18" s="35"/>
      <c r="O18" s="35"/>
      <c r="P18" s="35"/>
      <c r="Q18" s="35"/>
      <c r="R18" s="35"/>
      <c r="S18" s="35"/>
      <c r="T18" s="35"/>
      <c r="U18" s="35"/>
      <c r="V18" s="35"/>
      <c r="W18" s="35"/>
      <c r="X18" s="35"/>
      <c r="Y18" s="35"/>
      <c r="Z18" s="35"/>
    </row>
    <row r="19" ht="15.75" customHeight="1">
      <c r="A19" s="39">
        <v>14</v>
      </c>
      <c r="B19" s="39" t="s">
        <v>473</v>
      </c>
      <c r="C19" s="47"/>
      <c r="D19" s="45" t="s">
        <v>397</v>
      </c>
      <c r="E19" s="45" t="s">
        <v>474</v>
      </c>
      <c r="F19" s="45" t="s">
        <v>475</v>
      </c>
      <c r="G19" s="45" t="s">
        <v>476</v>
      </c>
      <c r="H19" s="45" t="s">
        <v>477</v>
      </c>
      <c r="I19" s="45" t="s">
        <v>478</v>
      </c>
      <c r="J19" s="45" t="s">
        <v>403</v>
      </c>
      <c r="K19" s="47"/>
      <c r="L19" s="35"/>
      <c r="M19" s="35"/>
      <c r="N19" s="35"/>
      <c r="O19" s="35"/>
      <c r="P19" s="35"/>
      <c r="Q19" s="35"/>
      <c r="R19" s="35"/>
      <c r="S19" s="35"/>
      <c r="T19" s="35"/>
      <c r="U19" s="35"/>
      <c r="V19" s="35"/>
      <c r="W19" s="35"/>
      <c r="X19" s="35"/>
      <c r="Y19" s="35"/>
      <c r="Z19" s="35"/>
    </row>
    <row r="20" ht="15.75" customHeight="1">
      <c r="A20" s="39">
        <v>15</v>
      </c>
      <c r="B20" s="39" t="s">
        <v>479</v>
      </c>
      <c r="C20" s="47"/>
      <c r="D20" s="45" t="s">
        <v>397</v>
      </c>
      <c r="E20" s="45" t="s">
        <v>480</v>
      </c>
      <c r="F20" s="45" t="s">
        <v>481</v>
      </c>
      <c r="G20" s="45" t="s">
        <v>458</v>
      </c>
      <c r="H20" s="45" t="s">
        <v>482</v>
      </c>
      <c r="I20" s="45" t="s">
        <v>483</v>
      </c>
      <c r="J20" s="45" t="s">
        <v>403</v>
      </c>
      <c r="K20" s="47"/>
      <c r="L20" s="35"/>
      <c r="M20" s="35"/>
      <c r="N20" s="35"/>
      <c r="O20" s="35"/>
      <c r="P20" s="35"/>
      <c r="Q20" s="35"/>
      <c r="R20" s="35"/>
      <c r="S20" s="35"/>
      <c r="T20" s="35"/>
      <c r="U20" s="35"/>
      <c r="V20" s="35"/>
      <c r="W20" s="35"/>
      <c r="X20" s="35"/>
      <c r="Y20" s="35"/>
      <c r="Z20" s="35"/>
    </row>
    <row r="21" ht="15.75" customHeight="1">
      <c r="A21" s="39">
        <v>16</v>
      </c>
      <c r="B21" s="39" t="s">
        <v>484</v>
      </c>
      <c r="C21" s="47"/>
      <c r="D21" s="45" t="s">
        <v>485</v>
      </c>
      <c r="E21" s="45" t="s">
        <v>486</v>
      </c>
      <c r="F21" s="45" t="s">
        <v>487</v>
      </c>
      <c r="G21" s="45" t="s">
        <v>488</v>
      </c>
      <c r="H21" s="45" t="s">
        <v>489</v>
      </c>
      <c r="I21" s="45" t="s">
        <v>490</v>
      </c>
      <c r="J21" s="45" t="s">
        <v>403</v>
      </c>
      <c r="K21" s="47"/>
      <c r="L21" s="35"/>
      <c r="M21" s="35"/>
      <c r="N21" s="35"/>
      <c r="O21" s="35"/>
      <c r="P21" s="35"/>
      <c r="Q21" s="35"/>
      <c r="R21" s="35"/>
      <c r="S21" s="35"/>
      <c r="T21" s="35"/>
      <c r="U21" s="35"/>
      <c r="V21" s="35"/>
      <c r="W21" s="35"/>
      <c r="X21" s="35"/>
      <c r="Y21" s="35"/>
      <c r="Z21" s="35"/>
    </row>
    <row r="22" ht="15.75" customHeight="1">
      <c r="A22" s="39">
        <v>17</v>
      </c>
      <c r="B22" s="39" t="s">
        <v>491</v>
      </c>
      <c r="C22" s="47"/>
      <c r="D22" s="45" t="s">
        <v>485</v>
      </c>
      <c r="E22" s="45" t="s">
        <v>492</v>
      </c>
      <c r="F22" s="45" t="s">
        <v>487</v>
      </c>
      <c r="G22" s="45" t="s">
        <v>493</v>
      </c>
      <c r="H22" s="45" t="s">
        <v>494</v>
      </c>
      <c r="I22" s="45" t="s">
        <v>495</v>
      </c>
      <c r="J22" s="45" t="s">
        <v>403</v>
      </c>
      <c r="K22" s="47"/>
      <c r="L22" s="35"/>
      <c r="M22" s="35"/>
      <c r="N22" s="35"/>
      <c r="O22" s="35"/>
      <c r="P22" s="35"/>
      <c r="Q22" s="35"/>
      <c r="R22" s="35"/>
      <c r="S22" s="35"/>
      <c r="T22" s="35"/>
      <c r="U22" s="35"/>
      <c r="V22" s="35"/>
      <c r="W22" s="35"/>
      <c r="X22" s="35"/>
      <c r="Y22" s="35"/>
      <c r="Z22" s="35"/>
    </row>
    <row r="23" ht="15.75" customHeight="1">
      <c r="A23" s="39">
        <v>18</v>
      </c>
      <c r="B23" s="39" t="s">
        <v>496</v>
      </c>
      <c r="C23" s="47"/>
      <c r="D23" s="45" t="s">
        <v>485</v>
      </c>
      <c r="E23" s="45" t="s">
        <v>497</v>
      </c>
      <c r="F23" s="45" t="s">
        <v>498</v>
      </c>
      <c r="G23" s="45" t="s">
        <v>499</v>
      </c>
      <c r="H23" s="45" t="s">
        <v>500</v>
      </c>
      <c r="I23" s="45" t="s">
        <v>501</v>
      </c>
      <c r="J23" s="45" t="s">
        <v>403</v>
      </c>
      <c r="K23" s="47"/>
      <c r="L23" s="35"/>
      <c r="M23" s="35"/>
      <c r="N23" s="35"/>
      <c r="O23" s="35"/>
      <c r="P23" s="35"/>
      <c r="Q23" s="35"/>
      <c r="R23" s="35"/>
      <c r="S23" s="35"/>
      <c r="T23" s="35"/>
      <c r="U23" s="35"/>
      <c r="V23" s="35"/>
      <c r="W23" s="35"/>
      <c r="X23" s="35"/>
      <c r="Y23" s="35"/>
      <c r="Z23" s="35"/>
    </row>
    <row r="24" ht="15.75" customHeight="1">
      <c r="A24" s="39">
        <v>19</v>
      </c>
      <c r="B24" s="39" t="s">
        <v>502</v>
      </c>
      <c r="C24" s="47"/>
      <c r="D24" s="45" t="s">
        <v>485</v>
      </c>
      <c r="E24" s="45" t="s">
        <v>503</v>
      </c>
      <c r="F24" s="45" t="s">
        <v>504</v>
      </c>
      <c r="G24" s="45" t="s">
        <v>505</v>
      </c>
      <c r="H24" s="45" t="s">
        <v>506</v>
      </c>
      <c r="I24" s="45" t="s">
        <v>507</v>
      </c>
      <c r="J24" s="45" t="s">
        <v>403</v>
      </c>
      <c r="K24" s="47"/>
      <c r="L24" s="35"/>
      <c r="M24" s="35"/>
      <c r="N24" s="35"/>
      <c r="O24" s="35"/>
      <c r="P24" s="35"/>
      <c r="Q24" s="35"/>
      <c r="R24" s="35"/>
      <c r="S24" s="35"/>
      <c r="T24" s="35"/>
      <c r="U24" s="35"/>
      <c r="V24" s="35"/>
      <c r="W24" s="35"/>
      <c r="X24" s="35"/>
      <c r="Y24" s="35"/>
      <c r="Z24" s="35"/>
    </row>
    <row r="25" ht="15.75" customHeight="1">
      <c r="A25" s="39">
        <v>20</v>
      </c>
      <c r="B25" s="39" t="s">
        <v>508</v>
      </c>
      <c r="C25" s="47"/>
      <c r="D25" s="45" t="s">
        <v>485</v>
      </c>
      <c r="E25" s="45" t="s">
        <v>509</v>
      </c>
      <c r="F25" s="45" t="s">
        <v>504</v>
      </c>
      <c r="G25" s="45" t="s">
        <v>510</v>
      </c>
      <c r="H25" s="45" t="s">
        <v>511</v>
      </c>
      <c r="I25" s="45" t="s">
        <v>507</v>
      </c>
      <c r="J25" s="45" t="s">
        <v>403</v>
      </c>
      <c r="K25" s="47"/>
      <c r="L25" s="35"/>
      <c r="M25" s="35"/>
      <c r="N25" s="35"/>
      <c r="O25" s="35"/>
      <c r="P25" s="35"/>
      <c r="Q25" s="35"/>
      <c r="R25" s="35"/>
      <c r="S25" s="35"/>
      <c r="T25" s="35"/>
      <c r="U25" s="35"/>
      <c r="V25" s="35"/>
      <c r="W25" s="35"/>
      <c r="X25" s="35"/>
      <c r="Y25" s="35"/>
      <c r="Z25" s="35"/>
    </row>
    <row r="26" ht="15.75" customHeight="1">
      <c r="A26" s="39">
        <v>21</v>
      </c>
      <c r="B26" s="39" t="s">
        <v>512</v>
      </c>
      <c r="C26" s="47"/>
      <c r="D26" s="45" t="s">
        <v>513</v>
      </c>
      <c r="E26" s="45" t="s">
        <v>514</v>
      </c>
      <c r="F26" s="45" t="s">
        <v>515</v>
      </c>
      <c r="G26" s="45" t="s">
        <v>516</v>
      </c>
      <c r="H26" s="45" t="s">
        <v>517</v>
      </c>
      <c r="I26" s="45" t="s">
        <v>518</v>
      </c>
      <c r="J26" s="45" t="s">
        <v>403</v>
      </c>
      <c r="K26" s="47"/>
      <c r="L26" s="35"/>
      <c r="M26" s="35"/>
      <c r="N26" s="35"/>
      <c r="O26" s="35"/>
      <c r="P26" s="35"/>
      <c r="Q26" s="35"/>
      <c r="R26" s="35"/>
      <c r="S26" s="35"/>
      <c r="T26" s="35"/>
      <c r="U26" s="35"/>
      <c r="V26" s="35"/>
      <c r="W26" s="35"/>
      <c r="X26" s="35"/>
      <c r="Y26" s="35"/>
      <c r="Z26" s="35"/>
    </row>
    <row r="27" ht="15.75" customHeight="1">
      <c r="A27" s="39">
        <v>22</v>
      </c>
      <c r="B27" s="39" t="s">
        <v>519</v>
      </c>
      <c r="C27" s="47"/>
      <c r="D27" s="45" t="s">
        <v>513</v>
      </c>
      <c r="E27" s="45" t="s">
        <v>520</v>
      </c>
      <c r="F27" s="45" t="s">
        <v>521</v>
      </c>
      <c r="G27" s="45" t="s">
        <v>522</v>
      </c>
      <c r="H27" s="45" t="s">
        <v>523</v>
      </c>
      <c r="I27" s="45" t="s">
        <v>524</v>
      </c>
      <c r="J27" s="45" t="s">
        <v>403</v>
      </c>
      <c r="K27" s="47"/>
      <c r="L27" s="35"/>
      <c r="M27" s="35"/>
      <c r="N27" s="35"/>
      <c r="O27" s="35"/>
      <c r="P27" s="35"/>
      <c r="Q27" s="35"/>
      <c r="R27" s="35"/>
      <c r="S27" s="35"/>
      <c r="T27" s="35"/>
      <c r="U27" s="35"/>
      <c r="V27" s="35"/>
      <c r="W27" s="35"/>
      <c r="X27" s="35"/>
      <c r="Y27" s="35"/>
      <c r="Z27" s="35"/>
    </row>
    <row r="28" ht="15.75" customHeight="1">
      <c r="A28" s="39">
        <v>23</v>
      </c>
      <c r="B28" s="39" t="s">
        <v>525</v>
      </c>
      <c r="C28" s="47"/>
      <c r="D28" s="45" t="s">
        <v>513</v>
      </c>
      <c r="E28" s="45" t="s">
        <v>526</v>
      </c>
      <c r="F28" s="45" t="s">
        <v>527</v>
      </c>
      <c r="G28" s="45" t="s">
        <v>528</v>
      </c>
      <c r="H28" s="45" t="s">
        <v>529</v>
      </c>
      <c r="I28" s="45" t="s">
        <v>530</v>
      </c>
      <c r="J28" s="45" t="s">
        <v>403</v>
      </c>
      <c r="K28" s="47"/>
      <c r="L28" s="35"/>
      <c r="M28" s="35"/>
      <c r="N28" s="35"/>
      <c r="O28" s="35"/>
      <c r="P28" s="35"/>
      <c r="Q28" s="35"/>
      <c r="R28" s="35"/>
      <c r="S28" s="35"/>
      <c r="T28" s="35"/>
      <c r="U28" s="35"/>
      <c r="V28" s="35"/>
      <c r="W28" s="35"/>
      <c r="X28" s="35"/>
      <c r="Y28" s="35"/>
      <c r="Z28" s="35"/>
    </row>
    <row r="29" ht="15.75" customHeight="1">
      <c r="A29" s="39">
        <v>24</v>
      </c>
      <c r="B29" s="39" t="s">
        <v>531</v>
      </c>
      <c r="C29" s="47"/>
      <c r="D29" s="45" t="s">
        <v>513</v>
      </c>
      <c r="E29" s="45" t="s">
        <v>532</v>
      </c>
      <c r="F29" s="45" t="s">
        <v>533</v>
      </c>
      <c r="G29" s="45" t="s">
        <v>534</v>
      </c>
      <c r="H29" s="45" t="s">
        <v>535</v>
      </c>
      <c r="I29" s="45" t="s">
        <v>536</v>
      </c>
      <c r="J29" s="45" t="s">
        <v>403</v>
      </c>
      <c r="K29" s="47"/>
      <c r="L29" s="35"/>
      <c r="M29" s="35"/>
      <c r="N29" s="35"/>
      <c r="O29" s="35"/>
      <c r="P29" s="35"/>
      <c r="Q29" s="35"/>
      <c r="R29" s="35"/>
      <c r="S29" s="35"/>
      <c r="T29" s="35"/>
      <c r="U29" s="35"/>
      <c r="V29" s="35"/>
      <c r="W29" s="35"/>
      <c r="X29" s="35"/>
      <c r="Y29" s="35"/>
      <c r="Z29" s="35"/>
    </row>
    <row r="30" ht="15.75" customHeight="1">
      <c r="A30" s="39">
        <v>25</v>
      </c>
      <c r="B30" s="39" t="s">
        <v>537</v>
      </c>
      <c r="C30" s="47"/>
      <c r="D30" s="45" t="s">
        <v>538</v>
      </c>
      <c r="E30" s="45" t="s">
        <v>539</v>
      </c>
      <c r="F30" s="45" t="s">
        <v>540</v>
      </c>
      <c r="G30" s="45" t="s">
        <v>541</v>
      </c>
      <c r="H30" s="45" t="s">
        <v>542</v>
      </c>
      <c r="I30" s="45" t="s">
        <v>543</v>
      </c>
      <c r="J30" s="45" t="s">
        <v>403</v>
      </c>
      <c r="K30" s="47"/>
      <c r="L30" s="35"/>
      <c r="M30" s="35"/>
      <c r="N30" s="35"/>
      <c r="O30" s="35"/>
      <c r="P30" s="35"/>
      <c r="Q30" s="35"/>
      <c r="R30" s="35"/>
      <c r="S30" s="35"/>
      <c r="T30" s="35"/>
      <c r="U30" s="35"/>
      <c r="V30" s="35"/>
      <c r="W30" s="35"/>
      <c r="X30" s="35"/>
      <c r="Y30" s="35"/>
      <c r="Z30" s="35"/>
    </row>
    <row r="31" ht="15.75" customHeight="1">
      <c r="A31" s="39">
        <v>26</v>
      </c>
      <c r="B31" s="39" t="s">
        <v>544</v>
      </c>
      <c r="C31" s="48"/>
      <c r="D31" s="45" t="s">
        <v>545</v>
      </c>
      <c r="E31" s="45" t="s">
        <v>546</v>
      </c>
      <c r="F31" s="45" t="s">
        <v>547</v>
      </c>
      <c r="G31" s="45" t="s">
        <v>548</v>
      </c>
      <c r="H31" s="45" t="s">
        <v>549</v>
      </c>
      <c r="I31" s="45" t="s">
        <v>550</v>
      </c>
      <c r="J31" s="45" t="s">
        <v>403</v>
      </c>
      <c r="K31" s="47"/>
      <c r="L31" s="35"/>
      <c r="M31" s="35"/>
      <c r="N31" s="35"/>
      <c r="O31" s="35"/>
      <c r="P31" s="35"/>
      <c r="Q31" s="35"/>
      <c r="R31" s="35"/>
      <c r="S31" s="35"/>
      <c r="T31" s="35"/>
      <c r="U31" s="35"/>
      <c r="V31" s="35"/>
      <c r="W31" s="35"/>
      <c r="X31" s="35"/>
      <c r="Y31" s="35"/>
      <c r="Z31" s="35"/>
    </row>
    <row r="32" ht="15.75" customHeight="1">
      <c r="A32" s="39">
        <v>27</v>
      </c>
      <c r="B32" s="39" t="s">
        <v>551</v>
      </c>
      <c r="C32" s="39" t="s">
        <v>396</v>
      </c>
      <c r="D32" s="45" t="s">
        <v>513</v>
      </c>
      <c r="E32" s="45" t="s">
        <v>552</v>
      </c>
      <c r="F32" s="45" t="s">
        <v>399</v>
      </c>
      <c r="G32" s="45" t="s">
        <v>553</v>
      </c>
      <c r="H32" s="45" t="s">
        <v>401</v>
      </c>
      <c r="I32" s="45" t="s">
        <v>554</v>
      </c>
      <c r="J32" s="45" t="s">
        <v>403</v>
      </c>
      <c r="K32" s="47"/>
      <c r="L32" s="35"/>
      <c r="M32" s="35"/>
      <c r="N32" s="35"/>
      <c r="O32" s="35"/>
      <c r="P32" s="35"/>
      <c r="Q32" s="35"/>
      <c r="R32" s="35"/>
      <c r="S32" s="35"/>
      <c r="T32" s="35"/>
      <c r="U32" s="35"/>
      <c r="V32" s="35"/>
      <c r="W32" s="35"/>
      <c r="X32" s="35"/>
      <c r="Y32" s="35"/>
      <c r="Z32" s="35"/>
    </row>
    <row r="33" ht="15.75" customHeight="1">
      <c r="A33" s="39">
        <v>28</v>
      </c>
      <c r="B33" s="39" t="s">
        <v>555</v>
      </c>
      <c r="C33" s="47"/>
      <c r="D33" s="45" t="s">
        <v>513</v>
      </c>
      <c r="E33" s="45" t="s">
        <v>556</v>
      </c>
      <c r="F33" s="45" t="s">
        <v>406</v>
      </c>
      <c r="G33" s="45" t="s">
        <v>557</v>
      </c>
      <c r="H33" s="45" t="s">
        <v>558</v>
      </c>
      <c r="I33" s="45" t="s">
        <v>559</v>
      </c>
      <c r="J33" s="45" t="s">
        <v>403</v>
      </c>
      <c r="K33" s="47"/>
      <c r="L33" s="35"/>
      <c r="M33" s="35"/>
      <c r="N33" s="35"/>
      <c r="O33" s="35"/>
      <c r="P33" s="35"/>
      <c r="Q33" s="35"/>
      <c r="R33" s="35"/>
      <c r="S33" s="35"/>
      <c r="T33" s="35"/>
      <c r="U33" s="35"/>
      <c r="V33" s="35"/>
      <c r="W33" s="35"/>
      <c r="X33" s="35"/>
      <c r="Y33" s="35"/>
      <c r="Z33" s="35"/>
    </row>
    <row r="34" ht="15.75" customHeight="1">
      <c r="A34" s="39">
        <v>29</v>
      </c>
      <c r="B34" s="39" t="s">
        <v>560</v>
      </c>
      <c r="C34" s="47"/>
      <c r="D34" s="45" t="s">
        <v>513</v>
      </c>
      <c r="E34" s="45" t="s">
        <v>561</v>
      </c>
      <c r="F34" s="45" t="s">
        <v>418</v>
      </c>
      <c r="G34" s="45" t="s">
        <v>562</v>
      </c>
      <c r="H34" s="45" t="s">
        <v>563</v>
      </c>
      <c r="I34" s="45" t="s">
        <v>564</v>
      </c>
      <c r="J34" s="45" t="s">
        <v>403</v>
      </c>
      <c r="K34" s="47"/>
      <c r="L34" s="35"/>
      <c r="M34" s="35"/>
      <c r="N34" s="35"/>
      <c r="O34" s="35"/>
      <c r="P34" s="35"/>
      <c r="Q34" s="35"/>
      <c r="R34" s="35"/>
      <c r="S34" s="35"/>
      <c r="T34" s="35"/>
      <c r="U34" s="35"/>
      <c r="V34" s="35"/>
      <c r="W34" s="35"/>
      <c r="X34" s="35"/>
      <c r="Y34" s="35"/>
      <c r="Z34" s="35"/>
    </row>
    <row r="35" ht="15.75" customHeight="1">
      <c r="A35" s="39">
        <v>30</v>
      </c>
      <c r="B35" s="39" t="s">
        <v>565</v>
      </c>
      <c r="C35" s="47"/>
      <c r="D35" s="45" t="s">
        <v>513</v>
      </c>
      <c r="E35" s="45" t="s">
        <v>566</v>
      </c>
      <c r="F35" s="45" t="s">
        <v>418</v>
      </c>
      <c r="G35" s="45" t="s">
        <v>567</v>
      </c>
      <c r="H35" s="45" t="s">
        <v>563</v>
      </c>
      <c r="I35" s="45" t="s">
        <v>564</v>
      </c>
      <c r="J35" s="45" t="s">
        <v>403</v>
      </c>
      <c r="K35" s="47"/>
      <c r="L35" s="35"/>
      <c r="M35" s="35"/>
      <c r="N35" s="35"/>
      <c r="O35" s="35"/>
      <c r="P35" s="35"/>
      <c r="Q35" s="35"/>
      <c r="R35" s="35"/>
      <c r="S35" s="35"/>
      <c r="T35" s="35"/>
      <c r="U35" s="35"/>
      <c r="V35" s="35"/>
      <c r="W35" s="35"/>
      <c r="X35" s="35"/>
      <c r="Y35" s="35"/>
      <c r="Z35" s="35"/>
    </row>
    <row r="36" ht="15.75" customHeight="1">
      <c r="A36" s="39">
        <v>31</v>
      </c>
      <c r="B36" s="39" t="s">
        <v>568</v>
      </c>
      <c r="C36" s="48"/>
      <c r="D36" s="45" t="s">
        <v>513</v>
      </c>
      <c r="E36" s="45" t="s">
        <v>569</v>
      </c>
      <c r="F36" s="45" t="s">
        <v>530</v>
      </c>
      <c r="G36" s="45" t="s">
        <v>570</v>
      </c>
      <c r="H36" s="45" t="s">
        <v>571</v>
      </c>
      <c r="I36" s="45" t="s">
        <v>421</v>
      </c>
      <c r="J36" s="45" t="s">
        <v>403</v>
      </c>
      <c r="K36" s="47"/>
      <c r="L36" s="35"/>
      <c r="M36" s="35"/>
      <c r="N36" s="35"/>
      <c r="O36" s="35"/>
      <c r="P36" s="35"/>
      <c r="Q36" s="35"/>
      <c r="R36" s="35"/>
      <c r="S36" s="35"/>
      <c r="T36" s="35"/>
      <c r="U36" s="35"/>
      <c r="V36" s="35"/>
      <c r="W36" s="35"/>
      <c r="X36" s="35"/>
      <c r="Y36" s="35"/>
      <c r="Z36" s="35"/>
    </row>
    <row r="37" ht="15.75" customHeight="1">
      <c r="A37" s="39">
        <v>32</v>
      </c>
      <c r="B37" s="39" t="s">
        <v>572</v>
      </c>
      <c r="C37" s="39" t="s">
        <v>573</v>
      </c>
      <c r="D37" s="45" t="s">
        <v>574</v>
      </c>
      <c r="E37" s="45" t="s">
        <v>575</v>
      </c>
      <c r="F37" s="45" t="s">
        <v>576</v>
      </c>
      <c r="G37" s="45" t="s">
        <v>577</v>
      </c>
      <c r="H37" s="45" t="s">
        <v>578</v>
      </c>
      <c r="I37" s="45" t="s">
        <v>579</v>
      </c>
      <c r="J37" s="45" t="s">
        <v>403</v>
      </c>
      <c r="K37" s="47"/>
      <c r="L37" s="35"/>
      <c r="M37" s="35"/>
      <c r="N37" s="35"/>
      <c r="O37" s="35"/>
      <c r="P37" s="35"/>
      <c r="Q37" s="35"/>
      <c r="R37" s="35"/>
      <c r="S37" s="35"/>
      <c r="T37" s="35"/>
      <c r="U37" s="35"/>
      <c r="V37" s="35"/>
      <c r="W37" s="35"/>
      <c r="X37" s="35"/>
      <c r="Y37" s="35"/>
      <c r="Z37" s="35"/>
    </row>
    <row r="38" ht="15.75" customHeight="1">
      <c r="A38" s="39">
        <v>33</v>
      </c>
      <c r="B38" s="39" t="s">
        <v>580</v>
      </c>
      <c r="C38" s="47"/>
      <c r="D38" s="45" t="s">
        <v>574</v>
      </c>
      <c r="E38" s="45" t="s">
        <v>581</v>
      </c>
      <c r="F38" s="45" t="s">
        <v>576</v>
      </c>
      <c r="G38" s="45" t="s">
        <v>582</v>
      </c>
      <c r="H38" s="45" t="s">
        <v>583</v>
      </c>
      <c r="I38" s="45" t="s">
        <v>584</v>
      </c>
      <c r="J38" s="45" t="s">
        <v>403</v>
      </c>
      <c r="K38" s="47"/>
      <c r="L38" s="35"/>
      <c r="M38" s="35"/>
      <c r="N38" s="35"/>
      <c r="O38" s="35"/>
      <c r="P38" s="35"/>
      <c r="Q38" s="35"/>
      <c r="R38" s="35"/>
      <c r="S38" s="35"/>
      <c r="T38" s="35"/>
      <c r="U38" s="35"/>
      <c r="V38" s="35"/>
      <c r="W38" s="35"/>
      <c r="X38" s="35"/>
      <c r="Y38" s="35"/>
      <c r="Z38" s="35"/>
    </row>
    <row r="39" ht="15.75" customHeight="1">
      <c r="A39" s="39">
        <v>34</v>
      </c>
      <c r="B39" s="39" t="s">
        <v>585</v>
      </c>
      <c r="C39" s="48"/>
      <c r="D39" s="45" t="s">
        <v>574</v>
      </c>
      <c r="E39" s="45" t="s">
        <v>586</v>
      </c>
      <c r="F39" s="45" t="s">
        <v>576</v>
      </c>
      <c r="G39" s="45" t="s">
        <v>587</v>
      </c>
      <c r="H39" s="45" t="s">
        <v>588</v>
      </c>
      <c r="I39" s="45" t="s">
        <v>589</v>
      </c>
      <c r="J39" s="45" t="s">
        <v>403</v>
      </c>
      <c r="K39" s="47"/>
      <c r="L39" s="35"/>
      <c r="M39" s="35"/>
      <c r="N39" s="35"/>
      <c r="O39" s="35"/>
      <c r="P39" s="35"/>
      <c r="Q39" s="35"/>
      <c r="R39" s="35"/>
      <c r="S39" s="35"/>
      <c r="T39" s="35"/>
      <c r="U39" s="35"/>
      <c r="V39" s="35"/>
      <c r="W39" s="35"/>
      <c r="X39" s="35"/>
      <c r="Y39" s="35"/>
      <c r="Z39" s="35"/>
    </row>
    <row r="40" ht="15.75" customHeight="1">
      <c r="A40" s="39">
        <v>35</v>
      </c>
      <c r="B40" s="39" t="s">
        <v>590</v>
      </c>
      <c r="C40" s="44" t="s">
        <v>591</v>
      </c>
      <c r="D40" s="45" t="s">
        <v>592</v>
      </c>
      <c r="E40" s="45" t="s">
        <v>593</v>
      </c>
      <c r="F40" s="45" t="s">
        <v>594</v>
      </c>
      <c r="G40" s="45" t="s">
        <v>595</v>
      </c>
      <c r="H40" s="45" t="s">
        <v>596</v>
      </c>
      <c r="I40" s="45" t="s">
        <v>597</v>
      </c>
      <c r="J40" s="45" t="s">
        <v>403</v>
      </c>
      <c r="K40" s="47"/>
      <c r="L40" s="35"/>
      <c r="M40" s="35"/>
      <c r="N40" s="35"/>
      <c r="O40" s="35"/>
      <c r="P40" s="35"/>
      <c r="Q40" s="35"/>
      <c r="R40" s="35"/>
      <c r="S40" s="35"/>
      <c r="T40" s="35"/>
      <c r="U40" s="35"/>
      <c r="V40" s="35"/>
      <c r="W40" s="35"/>
      <c r="X40" s="35"/>
      <c r="Y40" s="35"/>
      <c r="Z40" s="35"/>
    </row>
    <row r="41" ht="15.75" customHeight="1">
      <c r="A41" s="39">
        <v>36</v>
      </c>
      <c r="B41" s="39" t="s">
        <v>598</v>
      </c>
      <c r="C41" s="47"/>
      <c r="D41" s="45" t="s">
        <v>592</v>
      </c>
      <c r="E41" s="45" t="s">
        <v>599</v>
      </c>
      <c r="F41" s="45" t="s">
        <v>594</v>
      </c>
      <c r="G41" s="45" t="s">
        <v>600</v>
      </c>
      <c r="H41" s="45" t="s">
        <v>596</v>
      </c>
      <c r="I41" s="45" t="s">
        <v>597</v>
      </c>
      <c r="J41" s="45" t="s">
        <v>403</v>
      </c>
      <c r="K41" s="47"/>
      <c r="L41" s="35"/>
      <c r="M41" s="35"/>
      <c r="N41" s="35"/>
      <c r="O41" s="35"/>
      <c r="P41" s="35"/>
      <c r="Q41" s="35"/>
      <c r="R41" s="35"/>
      <c r="S41" s="35"/>
      <c r="T41" s="35"/>
      <c r="U41" s="35"/>
      <c r="V41" s="35"/>
      <c r="W41" s="35"/>
      <c r="X41" s="35"/>
      <c r="Y41" s="35"/>
      <c r="Z41" s="35"/>
    </row>
    <row r="42" ht="15.75" customHeight="1">
      <c r="A42" s="39">
        <v>37</v>
      </c>
      <c r="B42" s="39" t="s">
        <v>601</v>
      </c>
      <c r="C42" s="48"/>
      <c r="D42" s="45" t="s">
        <v>602</v>
      </c>
      <c r="E42" s="45" t="s">
        <v>603</v>
      </c>
      <c r="F42" s="45" t="s">
        <v>604</v>
      </c>
      <c r="G42" s="45" t="s">
        <v>605</v>
      </c>
      <c r="H42" s="45" t="s">
        <v>606</v>
      </c>
      <c r="I42" s="45" t="s">
        <v>607</v>
      </c>
      <c r="J42" s="45" t="s">
        <v>403</v>
      </c>
      <c r="K42" s="48"/>
      <c r="L42" s="35"/>
      <c r="M42" s="35"/>
      <c r="N42" s="35"/>
      <c r="O42" s="35"/>
      <c r="P42" s="35"/>
      <c r="Q42" s="35"/>
      <c r="R42" s="35"/>
      <c r="S42" s="35"/>
      <c r="T42" s="35"/>
      <c r="U42" s="35"/>
      <c r="V42" s="35"/>
      <c r="W42" s="35"/>
      <c r="X42" s="35"/>
      <c r="Y42" s="35"/>
      <c r="Z42" s="35"/>
    </row>
    <row r="43" ht="15.75" customHeight="1">
      <c r="A43" s="39">
        <v>38</v>
      </c>
      <c r="B43" s="39" t="s">
        <v>608</v>
      </c>
      <c r="C43" s="39" t="s">
        <v>609</v>
      </c>
      <c r="D43" s="45" t="s">
        <v>610</v>
      </c>
      <c r="E43" s="45" t="s">
        <v>611</v>
      </c>
      <c r="F43" s="45" t="s">
        <v>612</v>
      </c>
      <c r="G43" s="45" t="s">
        <v>613</v>
      </c>
      <c r="H43" s="45" t="s">
        <v>614</v>
      </c>
      <c r="I43" s="45" t="s">
        <v>615</v>
      </c>
      <c r="J43" s="45" t="s">
        <v>403</v>
      </c>
      <c r="K43" s="39"/>
      <c r="L43" s="35"/>
      <c r="M43" s="35"/>
      <c r="N43" s="35"/>
      <c r="O43" s="35"/>
      <c r="P43" s="35"/>
      <c r="Q43" s="35"/>
      <c r="R43" s="35"/>
      <c r="S43" s="35"/>
      <c r="T43" s="35"/>
      <c r="U43" s="35"/>
      <c r="V43" s="35"/>
      <c r="W43" s="35"/>
      <c r="X43" s="35"/>
      <c r="Y43" s="35"/>
      <c r="Z43" s="35"/>
    </row>
    <row r="44" ht="15.75" customHeight="1">
      <c r="A44" s="39">
        <v>39</v>
      </c>
      <c r="B44" s="39" t="s">
        <v>616</v>
      </c>
      <c r="C44" s="48"/>
      <c r="D44" s="45" t="s">
        <v>617</v>
      </c>
      <c r="E44" s="45" t="s">
        <v>618</v>
      </c>
      <c r="F44" s="45" t="s">
        <v>612</v>
      </c>
      <c r="G44" s="45" t="s">
        <v>619</v>
      </c>
      <c r="H44" s="45" t="s">
        <v>620</v>
      </c>
      <c r="I44" s="45" t="s">
        <v>615</v>
      </c>
      <c r="J44" s="45" t="s">
        <v>403</v>
      </c>
      <c r="K44" s="48"/>
      <c r="L44" s="35"/>
      <c r="M44" s="35"/>
      <c r="N44" s="35"/>
      <c r="O44" s="35"/>
      <c r="P44" s="35"/>
      <c r="Q44" s="35"/>
      <c r="R44" s="35"/>
      <c r="S44" s="35"/>
      <c r="T44" s="35"/>
      <c r="U44" s="35"/>
      <c r="V44" s="35"/>
      <c r="W44" s="35"/>
      <c r="X44" s="35"/>
      <c r="Y44" s="35"/>
      <c r="Z44" s="35"/>
    </row>
    <row r="45" ht="15.75" customHeight="1">
      <c r="A45" s="39">
        <v>40</v>
      </c>
      <c r="B45" s="39" t="s">
        <v>621</v>
      </c>
      <c r="C45" s="39" t="s">
        <v>622</v>
      </c>
      <c r="D45" s="45" t="s">
        <v>592</v>
      </c>
      <c r="E45" s="45" t="s">
        <v>623</v>
      </c>
      <c r="F45" s="45" t="s">
        <v>594</v>
      </c>
      <c r="G45" s="45" t="s">
        <v>624</v>
      </c>
      <c r="H45" s="45" t="s">
        <v>596</v>
      </c>
      <c r="I45" s="45" t="s">
        <v>625</v>
      </c>
      <c r="J45" s="45" t="s">
        <v>403</v>
      </c>
      <c r="K45" s="46"/>
      <c r="L45" s="35"/>
      <c r="M45" s="35"/>
      <c r="N45" s="35"/>
      <c r="O45" s="35"/>
      <c r="P45" s="35"/>
      <c r="Q45" s="35"/>
      <c r="R45" s="35"/>
      <c r="S45" s="35"/>
      <c r="T45" s="35"/>
      <c r="U45" s="35"/>
      <c r="V45" s="35"/>
      <c r="W45" s="35"/>
      <c r="X45" s="35"/>
      <c r="Y45" s="35"/>
      <c r="Z45" s="35"/>
    </row>
    <row r="46" ht="15.75" customHeight="1">
      <c r="A46" s="39">
        <v>41</v>
      </c>
      <c r="B46" s="39" t="s">
        <v>626</v>
      </c>
      <c r="C46" s="47"/>
      <c r="D46" s="45" t="s">
        <v>592</v>
      </c>
      <c r="E46" s="45" t="s">
        <v>627</v>
      </c>
      <c r="F46" s="45" t="s">
        <v>594</v>
      </c>
      <c r="G46" s="45" t="s">
        <v>628</v>
      </c>
      <c r="H46" s="45" t="s">
        <v>596</v>
      </c>
      <c r="I46" s="45" t="s">
        <v>629</v>
      </c>
      <c r="J46" s="45" t="s">
        <v>403</v>
      </c>
      <c r="K46" s="47"/>
      <c r="L46" s="35"/>
      <c r="M46" s="35"/>
      <c r="N46" s="35"/>
      <c r="O46" s="35"/>
      <c r="P46" s="35"/>
      <c r="Q46" s="35"/>
      <c r="R46" s="35"/>
      <c r="S46" s="35"/>
      <c r="T46" s="35"/>
      <c r="U46" s="35"/>
      <c r="V46" s="35"/>
      <c r="W46" s="35"/>
      <c r="X46" s="35"/>
      <c r="Y46" s="35"/>
      <c r="Z46" s="35"/>
    </row>
    <row r="47" ht="15.75" customHeight="1">
      <c r="A47" s="39">
        <v>42</v>
      </c>
      <c r="B47" s="39" t="s">
        <v>630</v>
      </c>
      <c r="C47" s="47"/>
      <c r="D47" s="45" t="s">
        <v>592</v>
      </c>
      <c r="E47" s="45" t="s">
        <v>631</v>
      </c>
      <c r="F47" s="45" t="s">
        <v>594</v>
      </c>
      <c r="G47" s="45" t="s">
        <v>632</v>
      </c>
      <c r="H47" s="45" t="s">
        <v>596</v>
      </c>
      <c r="I47" s="45" t="s">
        <v>633</v>
      </c>
      <c r="J47" s="45" t="s">
        <v>403</v>
      </c>
      <c r="K47" s="47"/>
      <c r="L47" s="35"/>
      <c r="M47" s="35"/>
      <c r="N47" s="35"/>
      <c r="O47" s="35"/>
      <c r="P47" s="35"/>
      <c r="Q47" s="35"/>
      <c r="R47" s="35"/>
      <c r="S47" s="35"/>
      <c r="T47" s="35"/>
      <c r="U47" s="35"/>
      <c r="V47" s="35"/>
      <c r="W47" s="35"/>
      <c r="X47" s="35"/>
      <c r="Y47" s="35"/>
      <c r="Z47" s="35"/>
    </row>
    <row r="48" ht="15.75" customHeight="1">
      <c r="A48" s="39">
        <v>43</v>
      </c>
      <c r="B48" s="39" t="s">
        <v>634</v>
      </c>
      <c r="C48" s="48"/>
      <c r="D48" s="45" t="s">
        <v>592</v>
      </c>
      <c r="E48" s="45" t="s">
        <v>635</v>
      </c>
      <c r="F48" s="45" t="s">
        <v>594</v>
      </c>
      <c r="G48" s="45" t="s">
        <v>636</v>
      </c>
      <c r="H48" s="45" t="s">
        <v>596</v>
      </c>
      <c r="I48" s="45" t="s">
        <v>637</v>
      </c>
      <c r="J48" s="45" t="s">
        <v>403</v>
      </c>
      <c r="K48" s="47"/>
      <c r="L48" s="35"/>
      <c r="M48" s="35"/>
      <c r="N48" s="35"/>
      <c r="O48" s="35"/>
      <c r="P48" s="35"/>
      <c r="Q48" s="35"/>
      <c r="R48" s="35"/>
      <c r="S48" s="35"/>
      <c r="T48" s="35"/>
      <c r="U48" s="35"/>
      <c r="V48" s="35"/>
      <c r="W48" s="35"/>
      <c r="X48" s="35"/>
      <c r="Y48" s="35"/>
      <c r="Z48" s="35"/>
    </row>
    <row r="49" ht="15.75" customHeight="1">
      <c r="A49" s="39">
        <v>44</v>
      </c>
      <c r="B49" s="39" t="s">
        <v>638</v>
      </c>
      <c r="C49" s="39" t="s">
        <v>639</v>
      </c>
      <c r="D49" s="45" t="s">
        <v>640</v>
      </c>
      <c r="E49" s="45" t="s">
        <v>641</v>
      </c>
      <c r="F49" s="45" t="s">
        <v>642</v>
      </c>
      <c r="G49" s="45" t="s">
        <v>643</v>
      </c>
      <c r="H49" s="45" t="s">
        <v>644</v>
      </c>
      <c r="I49" s="45" t="s">
        <v>645</v>
      </c>
      <c r="J49" s="45" t="s">
        <v>403</v>
      </c>
      <c r="K49" s="47"/>
      <c r="L49" s="35"/>
      <c r="M49" s="35"/>
      <c r="N49" s="35"/>
      <c r="O49" s="35"/>
      <c r="P49" s="35"/>
      <c r="Q49" s="35"/>
      <c r="R49" s="35"/>
      <c r="S49" s="35"/>
      <c r="T49" s="35"/>
      <c r="U49" s="35"/>
      <c r="V49" s="35"/>
      <c r="W49" s="35"/>
      <c r="X49" s="35"/>
      <c r="Y49" s="35"/>
      <c r="Z49" s="35"/>
    </row>
    <row r="50" ht="15.75" customHeight="1">
      <c r="A50" s="39">
        <v>45</v>
      </c>
      <c r="B50" s="39" t="s">
        <v>646</v>
      </c>
      <c r="C50" s="47"/>
      <c r="D50" s="45" t="s">
        <v>640</v>
      </c>
      <c r="E50" s="45" t="s">
        <v>647</v>
      </c>
      <c r="F50" s="45" t="s">
        <v>642</v>
      </c>
      <c r="G50" s="45" t="s">
        <v>648</v>
      </c>
      <c r="H50" s="45" t="s">
        <v>649</v>
      </c>
      <c r="I50" s="45" t="s">
        <v>650</v>
      </c>
      <c r="J50" s="45" t="s">
        <v>403</v>
      </c>
      <c r="K50" s="47"/>
      <c r="L50" s="35"/>
      <c r="M50" s="35"/>
      <c r="N50" s="35"/>
      <c r="O50" s="35"/>
      <c r="P50" s="35"/>
      <c r="Q50" s="35"/>
      <c r="R50" s="35"/>
      <c r="S50" s="35"/>
      <c r="T50" s="35"/>
      <c r="U50" s="35"/>
      <c r="V50" s="35"/>
      <c r="W50" s="35"/>
      <c r="X50" s="35"/>
      <c r="Y50" s="35"/>
      <c r="Z50" s="35"/>
    </row>
    <row r="51" ht="15.75" customHeight="1">
      <c r="A51" s="39">
        <v>46</v>
      </c>
      <c r="B51" s="39" t="s">
        <v>651</v>
      </c>
      <c r="C51" s="47"/>
      <c r="D51" s="45" t="s">
        <v>640</v>
      </c>
      <c r="E51" s="45" t="s">
        <v>652</v>
      </c>
      <c r="F51" s="45" t="s">
        <v>642</v>
      </c>
      <c r="G51" s="45" t="s">
        <v>653</v>
      </c>
      <c r="H51" s="45" t="s">
        <v>654</v>
      </c>
      <c r="I51" s="45" t="s">
        <v>655</v>
      </c>
      <c r="J51" s="45" t="s">
        <v>403</v>
      </c>
      <c r="K51" s="47"/>
      <c r="L51" s="35"/>
      <c r="M51" s="35"/>
      <c r="N51" s="35"/>
      <c r="O51" s="35"/>
      <c r="P51" s="35"/>
      <c r="Q51" s="35"/>
      <c r="R51" s="35"/>
      <c r="S51" s="35"/>
      <c r="T51" s="35"/>
      <c r="U51" s="35"/>
      <c r="V51" s="35"/>
      <c r="W51" s="35"/>
      <c r="X51" s="35"/>
      <c r="Y51" s="35"/>
      <c r="Z51" s="35"/>
    </row>
    <row r="52" ht="15.75" customHeight="1">
      <c r="A52" s="39">
        <v>47</v>
      </c>
      <c r="B52" s="39" t="s">
        <v>656</v>
      </c>
      <c r="C52" s="48"/>
      <c r="D52" s="45" t="s">
        <v>657</v>
      </c>
      <c r="E52" s="45" t="s">
        <v>658</v>
      </c>
      <c r="F52" s="45" t="s">
        <v>642</v>
      </c>
      <c r="G52" s="45" t="s">
        <v>659</v>
      </c>
      <c r="H52" s="45" t="s">
        <v>660</v>
      </c>
      <c r="I52" s="45" t="s">
        <v>607</v>
      </c>
      <c r="J52" s="45" t="s">
        <v>403</v>
      </c>
      <c r="K52" s="47"/>
      <c r="L52" s="35"/>
      <c r="M52" s="35"/>
      <c r="N52" s="35"/>
      <c r="O52" s="35"/>
      <c r="P52" s="35"/>
      <c r="Q52" s="35"/>
      <c r="R52" s="35"/>
      <c r="S52" s="35"/>
      <c r="T52" s="35"/>
      <c r="U52" s="35"/>
      <c r="V52" s="35"/>
      <c r="W52" s="35"/>
      <c r="X52" s="35"/>
      <c r="Y52" s="35"/>
      <c r="Z52" s="35"/>
    </row>
    <row r="53" ht="15.75" customHeight="1">
      <c r="A53" s="39">
        <v>48</v>
      </c>
      <c r="B53" s="39" t="s">
        <v>661</v>
      </c>
      <c r="C53" s="39" t="s">
        <v>662</v>
      </c>
      <c r="D53" s="45" t="s">
        <v>640</v>
      </c>
      <c r="E53" s="45" t="s">
        <v>663</v>
      </c>
      <c r="F53" s="45" t="s">
        <v>612</v>
      </c>
      <c r="G53" s="45" t="s">
        <v>664</v>
      </c>
      <c r="H53" s="45" t="s">
        <v>665</v>
      </c>
      <c r="I53" s="45" t="s">
        <v>615</v>
      </c>
      <c r="J53" s="45" t="s">
        <v>403</v>
      </c>
      <c r="K53" s="47"/>
      <c r="L53" s="35"/>
      <c r="M53" s="35"/>
      <c r="N53" s="35"/>
      <c r="O53" s="35"/>
      <c r="P53" s="35"/>
      <c r="Q53" s="35"/>
      <c r="R53" s="35"/>
      <c r="S53" s="35"/>
      <c r="T53" s="35"/>
      <c r="U53" s="35"/>
      <c r="V53" s="35"/>
      <c r="W53" s="35"/>
      <c r="X53" s="35"/>
      <c r="Y53" s="35"/>
      <c r="Z53" s="35"/>
    </row>
    <row r="54" ht="15.75" customHeight="1">
      <c r="A54" s="39">
        <v>49</v>
      </c>
      <c r="B54" s="39" t="s">
        <v>666</v>
      </c>
      <c r="C54" s="48"/>
      <c r="D54" s="45" t="s">
        <v>657</v>
      </c>
      <c r="E54" s="45" t="s">
        <v>667</v>
      </c>
      <c r="F54" s="45" t="s">
        <v>612</v>
      </c>
      <c r="G54" s="45" t="s">
        <v>668</v>
      </c>
      <c r="H54" s="45" t="s">
        <v>669</v>
      </c>
      <c r="I54" s="45" t="s">
        <v>615</v>
      </c>
      <c r="J54" s="45" t="s">
        <v>403</v>
      </c>
      <c r="K54" s="48"/>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14">
    <mergeCell ref="K43:K44"/>
    <mergeCell ref="C53:C54"/>
    <mergeCell ref="C40:C42"/>
    <mergeCell ref="C43:C44"/>
    <mergeCell ref="A2:B2"/>
    <mergeCell ref="K6:K42"/>
    <mergeCell ref="C32:C36"/>
    <mergeCell ref="C16:C31"/>
    <mergeCell ref="C37:C39"/>
    <mergeCell ref="C6:C15"/>
    <mergeCell ref="C45:C48"/>
    <mergeCell ref="A3:B3"/>
    <mergeCell ref="C49:C52"/>
    <mergeCell ref="K45:K54"/>
  </mergeCells>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ColWidth="14.43" defaultRowHeight="15" customHeight="1"/>
  <cols>
    <col customWidth="1" min="1" max="1" style="1" width="45.289999999999999"/>
    <col customWidth="1" min="2" max="2" style="1" width="22.710000000000001"/>
    <col customWidth="1" min="3" max="3" style="1" width="23"/>
    <col customWidth="1" min="4" max="4" style="1" width="30.289999999999999"/>
    <col customWidth="1" min="5" max="5" style="1" width="54.140000000000001"/>
    <col customWidth="1" min="6" max="8" style="1" width="9.1400000000000006"/>
    <col customWidth="1" min="9" max="26" style="1" width="8.7100000000000009"/>
    <col customWidth="1" min="27" max="16384" style="1" width="14.43"/>
  </cols>
  <sheetData>
    <row r="1" ht="18.75" customHeight="1">
      <c r="A1" s="49" t="s">
        <v>670</v>
      </c>
      <c r="I1" s="35"/>
      <c r="J1" s="35"/>
      <c r="K1" s="35"/>
      <c r="L1" s="35"/>
      <c r="M1" s="35"/>
      <c r="N1" s="35"/>
      <c r="O1" s="35"/>
      <c r="P1" s="35"/>
      <c r="Q1" s="35"/>
      <c r="R1" s="35"/>
      <c r="S1" s="35"/>
      <c r="T1" s="35"/>
      <c r="U1" s="35"/>
      <c r="V1" s="35"/>
      <c r="W1" s="35"/>
      <c r="X1" s="35"/>
      <c r="Y1" s="35"/>
      <c r="Z1" s="35"/>
    </row>
    <row r="2" ht="16.5" customHeight="1">
      <c r="A2" s="50" t="s">
        <v>671</v>
      </c>
      <c r="C2" s="51" t="s">
        <v>672</v>
      </c>
      <c r="H2" s="35"/>
      <c r="I2" s="35"/>
      <c r="J2" s="35"/>
      <c r="K2" s="35"/>
      <c r="L2" s="35"/>
      <c r="M2" s="35"/>
      <c r="N2" s="35"/>
      <c r="O2" s="35"/>
      <c r="P2" s="35"/>
      <c r="Q2" s="35"/>
      <c r="R2" s="35"/>
      <c r="S2" s="35"/>
      <c r="T2" s="35"/>
      <c r="U2" s="35"/>
      <c r="V2" s="35"/>
      <c r="W2" s="35"/>
      <c r="X2" s="35"/>
      <c r="Y2" s="35"/>
      <c r="Z2" s="35"/>
    </row>
    <row r="3" ht="16.5" customHeight="1">
      <c r="A3" s="50" t="s">
        <v>673</v>
      </c>
      <c r="C3" s="51" t="s">
        <v>674</v>
      </c>
      <c r="H3" s="35"/>
      <c r="I3" s="35"/>
      <c r="J3" s="35"/>
      <c r="K3" s="35"/>
      <c r="L3" s="35"/>
      <c r="M3" s="35"/>
      <c r="N3" s="35"/>
      <c r="O3" s="35"/>
      <c r="P3" s="35"/>
      <c r="Q3" s="35"/>
      <c r="R3" s="35"/>
      <c r="S3" s="35"/>
      <c r="T3" s="35"/>
      <c r="U3" s="35"/>
      <c r="V3" s="35"/>
      <c r="W3" s="35"/>
      <c r="X3" s="35"/>
      <c r="Y3" s="35"/>
      <c r="Z3" s="35"/>
    </row>
    <row r="4" ht="16.5" customHeight="1">
      <c r="A4" s="50" t="s">
        <v>675</v>
      </c>
      <c r="C4" s="51" t="s">
        <v>676</v>
      </c>
      <c r="H4" s="35"/>
      <c r="I4" s="35"/>
      <c r="J4" s="35"/>
      <c r="K4" s="35"/>
      <c r="L4" s="35"/>
      <c r="M4" s="35"/>
      <c r="N4" s="35"/>
      <c r="O4" s="35"/>
      <c r="P4" s="35"/>
      <c r="Q4" s="35"/>
      <c r="R4" s="35"/>
      <c r="S4" s="35"/>
      <c r="T4" s="35"/>
      <c r="U4" s="35"/>
      <c r="V4" s="35"/>
      <c r="W4" s="35"/>
      <c r="X4" s="35"/>
      <c r="Y4" s="35"/>
      <c r="Z4" s="35"/>
    </row>
    <row r="5" ht="16.5" customHeight="1">
      <c r="A5" s="50" t="s">
        <v>677</v>
      </c>
      <c r="C5" s="51" t="s">
        <v>50</v>
      </c>
      <c r="H5" s="35"/>
      <c r="I5" s="35"/>
      <c r="J5" s="35"/>
      <c r="K5" s="35"/>
      <c r="L5" s="35"/>
      <c r="M5" s="35"/>
      <c r="N5" s="35"/>
      <c r="O5" s="35"/>
      <c r="P5" s="35"/>
      <c r="Q5" s="35"/>
      <c r="R5" s="35"/>
      <c r="S5" s="35"/>
      <c r="T5" s="35"/>
      <c r="U5" s="35"/>
      <c r="V5" s="35"/>
      <c r="W5" s="35"/>
      <c r="X5" s="35"/>
      <c r="Y5" s="35"/>
      <c r="Z5" s="35"/>
    </row>
    <row r="6" ht="16.5" customHeight="1">
      <c r="A6" s="50" t="s">
        <v>678</v>
      </c>
      <c r="C6" s="52">
        <v>46186</v>
      </c>
      <c r="H6" s="35"/>
      <c r="I6" s="35"/>
      <c r="J6" s="35"/>
      <c r="K6" s="35"/>
      <c r="L6" s="35"/>
      <c r="M6" s="35"/>
      <c r="N6" s="35"/>
      <c r="O6" s="35"/>
      <c r="P6" s="35"/>
      <c r="Q6" s="35"/>
      <c r="R6" s="35"/>
      <c r="S6" s="35"/>
      <c r="T6" s="35"/>
      <c r="U6" s="35"/>
      <c r="V6" s="35"/>
      <c r="W6" s="35"/>
      <c r="X6" s="35"/>
      <c r="Y6" s="35"/>
      <c r="Z6" s="35"/>
    </row>
    <row r="7" ht="16.5" customHeight="1">
      <c r="A7" s="50" t="s">
        <v>679</v>
      </c>
      <c r="C7" s="51">
        <v>67</v>
      </c>
      <c r="H7" s="35"/>
      <c r="I7" s="35"/>
      <c r="J7" s="35"/>
      <c r="K7" s="35"/>
      <c r="L7" s="35"/>
      <c r="M7" s="35"/>
      <c r="N7" s="35"/>
      <c r="O7" s="35"/>
      <c r="P7" s="35"/>
      <c r="Q7" s="35"/>
      <c r="R7" s="35"/>
      <c r="S7" s="35"/>
      <c r="T7" s="35"/>
      <c r="U7" s="35"/>
      <c r="V7" s="35"/>
      <c r="W7" s="35"/>
      <c r="X7" s="35"/>
      <c r="Y7" s="35"/>
      <c r="Z7" s="35"/>
    </row>
    <row r="8" ht="16.5" customHeight="1">
      <c r="A8" s="50" t="s">
        <v>680</v>
      </c>
      <c r="C8" s="51" t="s">
        <v>681</v>
      </c>
      <c r="H8" s="35"/>
      <c r="I8" s="35"/>
      <c r="J8" s="35"/>
      <c r="K8" s="35"/>
      <c r="L8" s="35"/>
      <c r="M8" s="35"/>
      <c r="N8" s="35"/>
      <c r="O8" s="35"/>
      <c r="P8" s="35"/>
      <c r="Q8" s="35"/>
      <c r="R8" s="35"/>
      <c r="S8" s="35"/>
      <c r="T8" s="35"/>
      <c r="U8" s="35"/>
      <c r="V8" s="35"/>
      <c r="W8" s="35"/>
      <c r="X8" s="35"/>
      <c r="Y8" s="35"/>
      <c r="Z8" s="35"/>
    </row>
    <row r="9" ht="16.5" customHeight="1">
      <c r="A9" s="53" t="s">
        <v>682</v>
      </c>
      <c r="B9" s="54"/>
      <c r="C9" s="54"/>
      <c r="D9" s="54"/>
      <c r="E9" s="55"/>
      <c r="F9" s="35"/>
      <c r="G9" s="35"/>
      <c r="H9" s="35"/>
      <c r="I9" s="35"/>
      <c r="J9" s="35"/>
      <c r="K9" s="35"/>
      <c r="L9" s="35"/>
      <c r="M9" s="35"/>
      <c r="N9" s="35"/>
      <c r="O9" s="35"/>
      <c r="P9" s="35"/>
      <c r="Q9" s="35"/>
      <c r="R9" s="35"/>
      <c r="S9" s="35"/>
      <c r="T9" s="35"/>
      <c r="U9" s="35"/>
      <c r="V9" s="35"/>
      <c r="W9" s="35"/>
      <c r="X9" s="35"/>
      <c r="Y9" s="35"/>
      <c r="Z9" s="35"/>
    </row>
    <row r="10" ht="16.5" customHeight="1">
      <c r="A10" s="56" t="s">
        <v>683</v>
      </c>
      <c r="B10" s="56" t="s">
        <v>684</v>
      </c>
      <c r="C10" s="56" t="s">
        <v>685</v>
      </c>
      <c r="D10" s="56" t="s">
        <v>686</v>
      </c>
      <c r="E10" s="57" t="s">
        <v>687</v>
      </c>
      <c r="F10" s="35"/>
      <c r="G10" s="35"/>
      <c r="H10" s="35"/>
      <c r="I10" s="35"/>
      <c r="J10" s="35"/>
      <c r="K10" s="35"/>
      <c r="L10" s="35"/>
      <c r="M10" s="35"/>
      <c r="N10" s="35"/>
      <c r="O10" s="35"/>
      <c r="P10" s="35"/>
      <c r="Q10" s="35"/>
      <c r="R10" s="35"/>
      <c r="S10" s="35"/>
      <c r="T10" s="35"/>
      <c r="U10" s="35"/>
      <c r="V10" s="35"/>
      <c r="W10" s="35"/>
      <c r="X10" s="35"/>
      <c r="Y10" s="35"/>
      <c r="Z10" s="35"/>
    </row>
    <row r="11" ht="16.5" customHeight="1">
      <c r="A11" s="58">
        <v>67</v>
      </c>
      <c r="B11" s="58">
        <v>66</v>
      </c>
      <c r="C11" s="58">
        <v>0</v>
      </c>
      <c r="D11" s="58">
        <v>1</v>
      </c>
      <c r="E11" s="57" t="s">
        <v>688</v>
      </c>
      <c r="F11" s="35"/>
      <c r="G11" s="35"/>
      <c r="H11" s="35"/>
      <c r="I11" s="35"/>
      <c r="J11" s="35"/>
      <c r="K11" s="35"/>
      <c r="L11" s="35"/>
      <c r="M11" s="35"/>
      <c r="N11" s="35"/>
      <c r="O11" s="35"/>
      <c r="P11" s="35"/>
      <c r="Q11" s="35"/>
      <c r="R11" s="35"/>
      <c r="S11" s="35"/>
      <c r="T11" s="35"/>
      <c r="U11" s="35"/>
      <c r="V11" s="35"/>
      <c r="W11" s="35"/>
      <c r="X11" s="35"/>
      <c r="Y11" s="35"/>
      <c r="Z11" s="35"/>
    </row>
    <row r="12" ht="16.5" customHeight="1">
      <c r="A12" s="59"/>
      <c r="B12" s="54"/>
      <c r="C12" s="54"/>
      <c r="D12" s="54"/>
      <c r="E12" s="55"/>
      <c r="F12" s="35"/>
      <c r="G12" s="35"/>
      <c r="H12" s="35"/>
      <c r="I12" s="35"/>
      <c r="J12" s="35"/>
      <c r="K12" s="35"/>
      <c r="L12" s="35"/>
      <c r="M12" s="35"/>
      <c r="N12" s="35"/>
      <c r="O12" s="35"/>
      <c r="P12" s="35"/>
      <c r="Q12" s="35"/>
      <c r="R12" s="35"/>
      <c r="S12" s="35"/>
      <c r="T12" s="35"/>
      <c r="U12" s="35"/>
      <c r="V12" s="35"/>
      <c r="W12" s="35"/>
      <c r="X12" s="35"/>
      <c r="Y12" s="35"/>
      <c r="Z12" s="35"/>
    </row>
    <row r="13" ht="175.5" customHeight="1">
      <c r="A13" s="53" t="s">
        <v>689</v>
      </c>
      <c r="B13" s="60" t="s">
        <v>690</v>
      </c>
      <c r="C13" s="54"/>
      <c r="D13" s="54"/>
      <c r="E13" s="55"/>
      <c r="F13" s="35"/>
      <c r="G13" s="35"/>
      <c r="H13" s="35"/>
      <c r="I13" s="35"/>
      <c r="J13" s="35"/>
      <c r="K13" s="35"/>
      <c r="L13" s="35"/>
      <c r="M13" s="35"/>
      <c r="N13" s="35"/>
      <c r="O13" s="35"/>
      <c r="P13" s="35"/>
      <c r="Q13" s="35"/>
      <c r="R13" s="35"/>
      <c r="S13" s="35"/>
      <c r="T13" s="35"/>
      <c r="U13" s="35"/>
      <c r="V13" s="35"/>
      <c r="W13" s="35"/>
      <c r="X13" s="35"/>
      <c r="Y13" s="35"/>
      <c r="Z13" s="35"/>
    </row>
    <row r="14" ht="195.75" customHeight="1">
      <c r="A14" s="53" t="s">
        <v>691</v>
      </c>
      <c r="B14" s="60" t="s">
        <v>692</v>
      </c>
      <c r="C14" s="55"/>
      <c r="D14" s="60" t="s">
        <v>693</v>
      </c>
      <c r="E14" s="55"/>
      <c r="F14" s="35"/>
      <c r="G14" s="35"/>
      <c r="H14" s="35"/>
      <c r="I14" s="35"/>
      <c r="J14" s="35"/>
      <c r="K14" s="35"/>
      <c r="L14" s="35"/>
      <c r="M14" s="35"/>
      <c r="N14" s="35"/>
      <c r="O14" s="35"/>
      <c r="P14" s="35"/>
      <c r="Q14" s="35"/>
      <c r="R14" s="35"/>
      <c r="S14" s="35"/>
      <c r="T14" s="35"/>
      <c r="U14" s="35"/>
      <c r="V14" s="35"/>
      <c r="W14" s="35"/>
      <c r="X14" s="35"/>
      <c r="Y14" s="35"/>
      <c r="Z14" s="35"/>
    </row>
    <row r="15" ht="72.75" customHeight="1">
      <c r="A15" s="53" t="s">
        <v>694</v>
      </c>
      <c r="B15" s="60" t="s">
        <v>695</v>
      </c>
      <c r="C15" s="54"/>
      <c r="D15" s="54"/>
      <c r="E15" s="55"/>
      <c r="F15" s="35"/>
      <c r="G15" s="35"/>
      <c r="H15" s="35"/>
      <c r="I15" s="35"/>
      <c r="J15" s="35"/>
      <c r="K15" s="35"/>
      <c r="L15" s="35"/>
      <c r="M15" s="35"/>
      <c r="N15" s="35"/>
      <c r="O15" s="35"/>
      <c r="P15" s="35"/>
      <c r="Q15" s="35"/>
      <c r="R15" s="35"/>
      <c r="S15" s="35"/>
      <c r="T15" s="35"/>
      <c r="U15" s="35"/>
      <c r="V15" s="35"/>
      <c r="W15" s="35"/>
      <c r="X15" s="35"/>
      <c r="Y15" s="35"/>
      <c r="Z15" s="35"/>
    </row>
    <row r="16" ht="60" customHeight="1">
      <c r="A16" s="53" t="s">
        <v>696</v>
      </c>
      <c r="B16" s="60" t="s">
        <v>697</v>
      </c>
      <c r="C16" s="54"/>
      <c r="D16" s="54"/>
      <c r="E16" s="55"/>
      <c r="F16" s="35"/>
      <c r="G16" s="35"/>
      <c r="H16" s="35"/>
      <c r="I16" s="35"/>
      <c r="J16" s="35"/>
      <c r="K16" s="35"/>
      <c r="L16" s="35"/>
      <c r="M16" s="35"/>
      <c r="N16" s="35"/>
      <c r="O16" s="35"/>
      <c r="P16" s="35"/>
      <c r="Q16" s="35"/>
      <c r="R16" s="35"/>
      <c r="S16" s="35"/>
      <c r="T16" s="35"/>
      <c r="U16" s="35"/>
      <c r="V16" s="35"/>
      <c r="W16" s="35"/>
      <c r="X16" s="35"/>
      <c r="Y16" s="35"/>
      <c r="Z16" s="35"/>
    </row>
    <row r="17" ht="16.5" customHeight="1">
      <c r="A17" s="61" t="s">
        <v>698</v>
      </c>
      <c r="C17" s="35"/>
      <c r="D17" s="35"/>
      <c r="E17" s="35"/>
      <c r="F17" s="35"/>
      <c r="G17" s="35"/>
      <c r="H17" s="35"/>
      <c r="I17" s="35"/>
      <c r="J17" s="35"/>
      <c r="K17" s="35"/>
      <c r="L17" s="35"/>
      <c r="M17" s="35"/>
      <c r="N17" s="35"/>
      <c r="O17" s="35"/>
      <c r="P17" s="35"/>
      <c r="Q17" s="35"/>
      <c r="R17" s="35"/>
      <c r="S17" s="35"/>
      <c r="T17" s="35"/>
      <c r="U17" s="35"/>
      <c r="V17" s="35"/>
      <c r="W17" s="35"/>
      <c r="X17" s="35"/>
      <c r="Y17" s="35"/>
      <c r="Z17" s="35"/>
    </row>
    <row r="18" ht="16.5" customHeight="1">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ht="16.5" customHeight="1">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ht="16.5" customHeight="1">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ht="16.5" customHeight="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ht="16.5" customHeight="1">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ht="16.5" customHeight="1">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ht="16.5" customHeight="1">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ht="16.5" customHeight="1">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ht="16.5" customHeight="1">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ht="16.5" customHeight="1">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ht="16.5"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ht="16.5" customHeight="1">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ht="16.5"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ht="16.5"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ht="16.5" customHeight="1">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ht="16.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6.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6.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6.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6.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6.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6.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6.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6.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6.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6.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6.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6.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6.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6.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6.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6.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6.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6.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6.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6.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6.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6.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6.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6.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6.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6.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6.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6.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6.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6.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6.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6.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6.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6.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6.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6.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6.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6.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6.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6.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6.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6.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6.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6.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6.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6.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6.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6.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6.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6.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6.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6.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6.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6.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6.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6.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6.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6.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6.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6.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6.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6.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6.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6.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6.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6.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6.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6.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6.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6.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6.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6.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6.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6.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6.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6.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6.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6.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6.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6.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6.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6.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6.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6.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6.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6.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6.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6.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6.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6.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6.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6.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6.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6.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6.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6.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6.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6.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6.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6.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6.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6.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6.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6.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6.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6.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6.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6.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6.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6.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6.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6.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6.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6.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6.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6.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6.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6.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6.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6.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6.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6.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6.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6.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6.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6.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6.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6.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6.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6.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6.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6.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6.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6.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6.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6.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6.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6.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6.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6.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6.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6.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6.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6.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6.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6.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6.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6.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6.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6.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6.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6.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6.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6.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6.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6.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6.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6.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6.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6.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6.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6.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6.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6.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6.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6.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6.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6.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6.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6.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6.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6.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6.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6.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6.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6.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6.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6.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6.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6.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6.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6.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6.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6.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6.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6.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6.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6.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6.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6.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6.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6.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6.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6.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6.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6.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6.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6.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6.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6.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6.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6.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6.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6.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6.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6.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6.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6.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6.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6.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6.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6.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6.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6.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6.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6.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6.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6.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6.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6.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6.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6.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6.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6.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6.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6.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6.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6.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6.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6.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6.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6.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6.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6.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6.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6.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6.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6.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6.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6.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6.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6.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6.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6.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6.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6.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6.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6.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6.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6.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6.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6.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6.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6.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6.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6.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6.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6.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6.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6.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6.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6.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6.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6.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6.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6.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6.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6.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6.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6.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6.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6.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6.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6.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6.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6.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6.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6.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6.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6.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6.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6.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6.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6.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6.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6.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6.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6.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6.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6.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6.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6.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6.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6.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6.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6.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6.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6.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6.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6.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6.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6.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6.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6.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6.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6.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6.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6.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6.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6.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6.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6.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6.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6.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6.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6.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6.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6.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6.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6.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6.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6.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6.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6.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6.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6.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6.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6.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6.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6.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6.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6.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6.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6.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6.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6.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6.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6.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6.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6.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6.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6.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6.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6.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6.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6.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6.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6.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6.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6.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6.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6.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6.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6.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6.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6.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6.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6.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6.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6.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6.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6.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6.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6.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6.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6.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6.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6.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6.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6.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6.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6.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6.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6.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6.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6.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6.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6.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6.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6.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6.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6.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6.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6.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6.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6.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6.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6.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6.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6.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6.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6.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6.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6.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6.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6.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6.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6.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6.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6.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6.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6.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6.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6.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6.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6.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6.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6.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6.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6.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6.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6.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6.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6.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6.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6.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6.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6.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6.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6.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6.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6.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6.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6.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6.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6.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6.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6.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6.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6.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6.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6.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6.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6.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6.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6.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6.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6.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6.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6.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6.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6.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6.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6.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6.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6.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6.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6.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6.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6.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6.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6.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6.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6.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6.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6.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6.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6.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6.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6.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6.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6.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6.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6.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6.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6.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6.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6.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6.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6.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6.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6.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6.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6.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6.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6.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6.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6.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6.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6.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6.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6.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6.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6.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6.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6.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6.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6.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6.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6.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6.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6.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6.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6.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6.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6.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6.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6.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6.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6.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6.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6.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6.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6.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6.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6.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6.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6.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6.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6.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6.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6.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6.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6.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6.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6.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6.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6.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6.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6.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6.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6.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6.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6.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6.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6.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6.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6.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6.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6.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6.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6.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6.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6.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6.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6.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6.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6.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6.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6.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6.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6.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6.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6.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6.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6.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6.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6.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6.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6.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6.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6.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6.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6.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6.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6.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6.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6.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6.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6.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6.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6.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6.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6.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6.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6.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6.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6.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6.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6.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6.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6.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6.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6.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6.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6.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6.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6.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6.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6.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6.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6.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6.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6.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6.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6.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6.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6.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6.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6.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6.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6.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6.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6.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6.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6.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6.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6.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6.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6.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6.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6.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6.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6.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6.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6.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6.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6.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6.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6.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6.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6.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6.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6.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6.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6.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6.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6.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6.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6.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6.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6.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6.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6.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6.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6.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6.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6.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6.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6.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6.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6.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6.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6.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6.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6.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6.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6.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6.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6.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6.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6.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6.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6.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6.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6.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6.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6.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6.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6.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6.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6.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6.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6.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6.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6.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6.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6.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6.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6.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6.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6.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6.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6.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6.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6.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6.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6.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6.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6.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6.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6.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6.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6.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6.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6.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6.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6.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6.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6.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6.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6.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6.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6.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6.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6.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6.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6.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6.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6.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6.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6.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6.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6.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6.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6.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6.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6.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6.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6.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6.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6.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6.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6.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6.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6.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6.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6.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6.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6.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6.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6.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6.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6.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6.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6.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6.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6.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6.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6.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6.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6.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6.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6.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6.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6.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6.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6.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6.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6.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6.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6.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6.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6.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6.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6.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6.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6.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6.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6.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6.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6.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6.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6.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6.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6.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6.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6.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6.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6.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6.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6.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6.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6.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6.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6.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6.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6.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6.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6.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6.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6.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6.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6.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6.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6.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6.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6.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6.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6.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6.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6.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6.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6.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6.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6.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6.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6.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6.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6.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6.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6.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6.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6.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6.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6.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6.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6.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6.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6.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6.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6.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6.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6.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6.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6.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6.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6.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6.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6.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6.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6.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6.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6.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6.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6.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6.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6.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6.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6.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6.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6.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6.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6.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6.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6.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6.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6.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6.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6.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6.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6.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6.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6.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6.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6.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6.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6.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6.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6.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6.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6.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6.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6.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6.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6.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6.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6.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6.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6.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6.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6.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6.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6.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6.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6.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6.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6.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6.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6.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6.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6.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6.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6.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6.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6.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6.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6.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6.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6.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6.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6.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6.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6.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6.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6.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6.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6.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6.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6.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6.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6.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6.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6.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6.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6.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6.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6.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6.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6.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6.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6.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6.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6.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6.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6.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6.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6.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6.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6.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6.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6.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6.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6.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6.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6.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6.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6.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6.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6.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6.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6.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6.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6.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6.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6.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6.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6.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6.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6.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6.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6.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6.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6.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6.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6.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6.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6.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6.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6.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6.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6.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6.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6.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6.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6.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6.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6.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6.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6.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6.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6.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6.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6.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6.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6.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6.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6.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6.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6.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6.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6.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6.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6.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6.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6.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6.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6.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6.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6.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6.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6.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6.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6.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6.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6.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6.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6.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6.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6.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6.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6.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6.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6.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6.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6.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6.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23">
    <mergeCell ref="A1:H1"/>
    <mergeCell ref="A2:B2"/>
    <mergeCell ref="C2:G2"/>
    <mergeCell ref="A3:B3"/>
    <mergeCell ref="C3:G3"/>
    <mergeCell ref="A4:B4"/>
    <mergeCell ref="C4:G4"/>
    <mergeCell ref="A5:B5"/>
    <mergeCell ref="C5:G5"/>
    <mergeCell ref="A6:B6"/>
    <mergeCell ref="C6:G6"/>
    <mergeCell ref="A7:B7"/>
    <mergeCell ref="C7:G7"/>
    <mergeCell ref="A8:B8"/>
    <mergeCell ref="C8:G8"/>
    <mergeCell ref="A9:E9"/>
    <mergeCell ref="A12:E12"/>
    <mergeCell ref="B13:E13"/>
    <mergeCell ref="B14:C14"/>
    <mergeCell ref="D14:E14"/>
    <mergeCell ref="B15:E15"/>
    <mergeCell ref="B16:E16"/>
    <mergeCell ref="A17:B17"/>
  </mergeCells>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 style="1" width="9.140625"/>
    <col customWidth="1" min="2" max="2" style="1" width="61.00390625"/>
    <col customWidth="1" min="3" max="3" style="1" width="20.421875"/>
    <col customWidth="1" min="4" max="4" style="1" width="18.7109375"/>
    <col customWidth="1" min="5" max="5" style="1" width="17.8515625"/>
    <col customWidth="1" min="6" max="6" style="1" width="35.7109375"/>
    <col customWidth="1" min="7" max="16384" style="1" width="9.140625"/>
  </cols>
  <sheetData>
    <row r="1" ht="14.25" customHeight="1">
      <c r="A1" s="62"/>
      <c r="B1" s="63" t="s">
        <v>699</v>
      </c>
    </row>
    <row r="2" ht="14.25" customHeight="1">
      <c r="A2" s="62"/>
    </row>
    <row r="3" ht="15.75" customHeight="1">
      <c r="A3" s="62"/>
      <c r="B3" s="64" t="s">
        <v>700</v>
      </c>
      <c r="C3" s="65" t="s">
        <v>672</v>
      </c>
      <c r="D3" s="66"/>
      <c r="E3" s="66"/>
      <c r="F3" s="67"/>
    </row>
    <row r="4" ht="15.75" customHeight="1">
      <c r="A4" s="62"/>
      <c r="B4" s="64" t="s">
        <v>701</v>
      </c>
      <c r="C4" s="65" t="s">
        <v>702</v>
      </c>
      <c r="D4" s="66"/>
      <c r="E4" s="66"/>
      <c r="F4" s="67"/>
    </row>
    <row r="5" ht="15.75" customHeight="1">
      <c r="A5" s="62"/>
      <c r="B5" s="64" t="s">
        <v>703</v>
      </c>
      <c r="C5" s="65" t="s">
        <v>674</v>
      </c>
      <c r="D5" s="66"/>
      <c r="E5" s="66"/>
      <c r="F5" s="67"/>
    </row>
    <row r="6" ht="15.75" customHeight="1">
      <c r="A6" s="62"/>
      <c r="B6" s="64" t="s">
        <v>704</v>
      </c>
      <c r="C6" s="65">
        <v>1</v>
      </c>
      <c r="D6" s="66"/>
      <c r="E6" s="66"/>
      <c r="F6" s="67"/>
    </row>
    <row r="7" ht="15.75" customHeight="1">
      <c r="A7" s="62"/>
      <c r="B7" s="64" t="s">
        <v>705</v>
      </c>
      <c r="C7" s="65" t="s">
        <v>50</v>
      </c>
      <c r="D7" s="66"/>
      <c r="E7" s="66"/>
      <c r="F7" s="67"/>
    </row>
    <row r="8" ht="15.75" customHeight="1">
      <c r="A8" s="62"/>
      <c r="B8" s="64" t="s">
        <v>706</v>
      </c>
      <c r="C8" s="68" t="s">
        <v>707</v>
      </c>
      <c r="D8" s="66"/>
      <c r="E8" s="66"/>
      <c r="F8" s="67"/>
    </row>
    <row r="9" ht="15.75" customHeight="1">
      <c r="A9" s="62"/>
      <c r="B9" s="64" t="s">
        <v>708</v>
      </c>
      <c r="C9" s="65" t="s">
        <v>709</v>
      </c>
      <c r="D9" s="66"/>
      <c r="E9" s="66"/>
      <c r="F9" s="67"/>
    </row>
    <row r="10" ht="15.75" customHeight="1">
      <c r="A10" s="62"/>
      <c r="B10" s="64" t="s">
        <v>710</v>
      </c>
      <c r="C10" s="69">
        <v>8</v>
      </c>
      <c r="D10" s="70"/>
      <c r="E10" s="70"/>
      <c r="F10" s="71"/>
    </row>
    <row r="11" ht="15.75" customHeight="1">
      <c r="A11" s="62"/>
      <c r="B11" s="72" t="s">
        <v>711</v>
      </c>
      <c r="C11" s="73" t="s">
        <v>712</v>
      </c>
      <c r="D11" s="74" t="s">
        <v>713</v>
      </c>
      <c r="E11" s="75" t="s">
        <v>57</v>
      </c>
      <c r="F11" s="76" t="s">
        <v>66</v>
      </c>
    </row>
    <row r="12" ht="15.75" customHeight="1">
      <c r="A12" s="62"/>
      <c r="B12" s="77" t="s">
        <v>714</v>
      </c>
      <c r="C12" s="78"/>
      <c r="D12" s="79"/>
      <c r="E12" s="80"/>
      <c r="F12" s="81"/>
    </row>
    <row r="13" ht="31.5" customHeight="1">
      <c r="A13" s="82"/>
      <c r="B13" s="83" t="s">
        <v>715</v>
      </c>
      <c r="C13" s="78" t="s">
        <v>716</v>
      </c>
      <c r="D13" s="79"/>
      <c r="E13" s="80"/>
      <c r="F13" s="81"/>
    </row>
    <row r="14" ht="15.75" customHeight="1">
      <c r="A14" s="62"/>
      <c r="B14" s="77" t="s">
        <v>717</v>
      </c>
      <c r="C14" s="78"/>
      <c r="D14" s="79"/>
      <c r="E14" s="80"/>
      <c r="F14" s="81"/>
    </row>
    <row r="15" ht="15.75" customHeight="1">
      <c r="A15" s="62"/>
      <c r="B15" s="83" t="s">
        <v>718</v>
      </c>
      <c r="C15" s="78" t="s">
        <v>716</v>
      </c>
      <c r="D15" s="79"/>
      <c r="E15" s="80"/>
      <c r="F15" s="81"/>
    </row>
    <row r="16" ht="15.75" customHeight="1">
      <c r="A16" s="62"/>
      <c r="B16" s="83" t="s">
        <v>719</v>
      </c>
      <c r="C16" s="78" t="s">
        <v>716</v>
      </c>
      <c r="D16" s="79"/>
      <c r="E16" s="80"/>
      <c r="F16" s="81"/>
    </row>
    <row r="17" ht="15.75" customHeight="1">
      <c r="A17" s="62"/>
      <c r="B17" s="83" t="s">
        <v>720</v>
      </c>
      <c r="C17" s="78" t="s">
        <v>716</v>
      </c>
      <c r="D17" s="79"/>
      <c r="E17" s="80"/>
      <c r="F17" s="81"/>
    </row>
    <row r="18" ht="15.75" customHeight="1">
      <c r="A18" s="62"/>
      <c r="B18" s="83" t="s">
        <v>721</v>
      </c>
      <c r="C18" s="78" t="s">
        <v>716</v>
      </c>
      <c r="D18" s="79"/>
      <c r="E18" s="80"/>
      <c r="F18" s="81"/>
    </row>
    <row r="19" ht="47.25" customHeight="1">
      <c r="A19" s="62"/>
      <c r="B19" s="83" t="s">
        <v>722</v>
      </c>
      <c r="C19" s="78" t="s">
        <v>716</v>
      </c>
      <c r="D19" s="79"/>
      <c r="E19" s="80"/>
      <c r="F19" s="81" t="s">
        <v>723</v>
      </c>
    </row>
    <row r="20" ht="31.5" customHeight="1">
      <c r="A20" s="62"/>
      <c r="B20" s="83" t="s">
        <v>724</v>
      </c>
      <c r="C20" s="78" t="s">
        <v>716</v>
      </c>
      <c r="D20" s="79"/>
      <c r="E20" s="80"/>
      <c r="F20" s="81"/>
    </row>
    <row r="21" ht="31.5" customHeight="1">
      <c r="A21" s="62"/>
      <c r="B21" s="83" t="s">
        <v>725</v>
      </c>
      <c r="C21" s="78" t="s">
        <v>716</v>
      </c>
      <c r="D21" s="79"/>
      <c r="E21" s="80"/>
      <c r="F21" s="81"/>
    </row>
    <row r="22" ht="47.25" customHeight="1">
      <c r="A22" s="62"/>
      <c r="B22" s="83" t="s">
        <v>726</v>
      </c>
      <c r="C22" s="78"/>
      <c r="D22" s="79" t="s">
        <v>716</v>
      </c>
      <c r="E22" s="80"/>
      <c r="F22" s="81" t="s">
        <v>727</v>
      </c>
    </row>
    <row r="23" ht="31.5" customHeight="1">
      <c r="A23" s="62"/>
      <c r="B23" s="83" t="s">
        <v>728</v>
      </c>
      <c r="C23" s="78" t="s">
        <v>716</v>
      </c>
      <c r="D23" s="79"/>
      <c r="E23" s="80"/>
      <c r="F23" s="81"/>
    </row>
    <row r="24" ht="31.5" customHeight="1">
      <c r="A24" s="62"/>
      <c r="B24" s="83" t="s">
        <v>729</v>
      </c>
      <c r="C24" s="78"/>
      <c r="D24" s="84"/>
      <c r="E24" s="80" t="s">
        <v>716</v>
      </c>
      <c r="F24" s="85" t="s">
        <v>730</v>
      </c>
    </row>
    <row r="25" ht="15.75" customHeight="1">
      <c r="A25" s="62"/>
      <c r="B25" s="83" t="s">
        <v>731</v>
      </c>
      <c r="C25" s="78" t="s">
        <v>716</v>
      </c>
      <c r="D25" s="79"/>
      <c r="E25" s="80"/>
      <c r="F25" s="85"/>
    </row>
    <row r="26" ht="15.75" customHeight="1">
      <c r="A26" s="62"/>
      <c r="B26" s="83" t="s">
        <v>732</v>
      </c>
      <c r="C26" s="78" t="s">
        <v>716</v>
      </c>
      <c r="D26" s="79"/>
      <c r="E26" s="80"/>
      <c r="F26" s="85"/>
    </row>
    <row r="27" ht="31.5" customHeight="1">
      <c r="A27" s="62"/>
      <c r="B27" s="83" t="s">
        <v>733</v>
      </c>
      <c r="C27" s="78" t="s">
        <v>716</v>
      </c>
      <c r="D27" s="79"/>
      <c r="E27" s="80"/>
      <c r="F27" s="85"/>
    </row>
    <row r="28" ht="31.5" customHeight="1">
      <c r="A28" s="62"/>
      <c r="B28" s="83" t="s">
        <v>734</v>
      </c>
      <c r="C28" s="78" t="s">
        <v>716</v>
      </c>
      <c r="D28" s="79"/>
      <c r="E28" s="80"/>
      <c r="F28" s="85"/>
    </row>
    <row r="29" ht="15.75" customHeight="1">
      <c r="A29" s="62"/>
      <c r="B29" s="77" t="s">
        <v>735</v>
      </c>
      <c r="C29" s="78"/>
      <c r="D29" s="79"/>
      <c r="E29" s="80"/>
      <c r="F29" s="85"/>
    </row>
    <row r="30" ht="15.75" customHeight="1">
      <c r="A30" s="62"/>
      <c r="B30" s="83" t="s">
        <v>736</v>
      </c>
      <c r="C30" s="78" t="s">
        <v>716</v>
      </c>
      <c r="D30" s="79"/>
      <c r="E30" s="80"/>
      <c r="F30" s="85"/>
    </row>
    <row r="31" ht="15.75" customHeight="1">
      <c r="A31" s="62"/>
      <c r="B31" s="83" t="s">
        <v>737</v>
      </c>
      <c r="C31" s="78" t="s">
        <v>716</v>
      </c>
      <c r="D31" s="79"/>
      <c r="E31" s="80"/>
      <c r="F31" s="85"/>
    </row>
    <row r="32" ht="31.5" customHeight="1">
      <c r="A32" s="62"/>
      <c r="B32" s="83" t="s">
        <v>738</v>
      </c>
      <c r="C32" s="78" t="s">
        <v>716</v>
      </c>
      <c r="D32" s="79"/>
      <c r="E32" s="80"/>
      <c r="F32" s="85"/>
    </row>
    <row r="33" ht="15.75" customHeight="1">
      <c r="A33" s="62"/>
      <c r="B33" s="77" t="s">
        <v>739</v>
      </c>
      <c r="C33" s="78"/>
      <c r="D33" s="79"/>
      <c r="E33" s="80"/>
      <c r="F33" s="85"/>
    </row>
    <row r="34" ht="31.5" customHeight="1">
      <c r="A34" s="62"/>
      <c r="B34" s="83" t="s">
        <v>740</v>
      </c>
      <c r="C34" s="78" t="s">
        <v>716</v>
      </c>
      <c r="D34" s="79"/>
      <c r="E34" s="80"/>
      <c r="F34" s="85"/>
    </row>
    <row r="35" ht="47.25" customHeight="1">
      <c r="A35" s="62"/>
      <c r="B35" s="83" t="s">
        <v>741</v>
      </c>
      <c r="C35" s="78" t="s">
        <v>716</v>
      </c>
      <c r="D35" s="79"/>
      <c r="E35" s="80"/>
      <c r="F35" s="85"/>
    </row>
    <row r="36" ht="31.5" customHeight="1">
      <c r="A36" s="62"/>
      <c r="B36" s="83" t="s">
        <v>742</v>
      </c>
      <c r="C36" s="78"/>
      <c r="D36" s="84"/>
      <c r="E36" s="80" t="s">
        <v>716</v>
      </c>
      <c r="F36" s="85" t="s">
        <v>743</v>
      </c>
    </row>
    <row r="37" ht="31.5" customHeight="1">
      <c r="A37" s="62"/>
      <c r="B37" s="77" t="s">
        <v>744</v>
      </c>
      <c r="C37" s="78"/>
      <c r="D37" s="84"/>
      <c r="E37" s="80" t="s">
        <v>716</v>
      </c>
      <c r="F37" s="85" t="s">
        <v>745</v>
      </c>
    </row>
    <row r="38" ht="31.5" customHeight="1">
      <c r="A38" s="62"/>
      <c r="B38" s="83" t="s">
        <v>746</v>
      </c>
      <c r="C38" s="78" t="s">
        <v>716</v>
      </c>
      <c r="D38" s="84"/>
      <c r="E38" s="80"/>
      <c r="F38" s="85"/>
    </row>
    <row r="39" ht="31.5" customHeight="1">
      <c r="A39" s="62"/>
      <c r="B39" s="83" t="s">
        <v>747</v>
      </c>
      <c r="C39" s="78" t="s">
        <v>716</v>
      </c>
      <c r="D39" s="84"/>
      <c r="E39" s="80"/>
      <c r="F39" s="85"/>
    </row>
    <row r="40" ht="15.75" customHeight="1">
      <c r="A40" s="62"/>
      <c r="B40" s="83" t="s">
        <v>748</v>
      </c>
      <c r="C40" s="78" t="s">
        <v>716</v>
      </c>
      <c r="D40" s="84"/>
      <c r="E40" s="80"/>
      <c r="F40" s="85"/>
    </row>
    <row r="41" ht="31.5" customHeight="1">
      <c r="A41" s="62"/>
      <c r="B41" s="83" t="s">
        <v>749</v>
      </c>
      <c r="C41" s="78"/>
      <c r="D41" s="84"/>
      <c r="E41" s="80" t="s">
        <v>716</v>
      </c>
      <c r="F41" s="85" t="s">
        <v>57</v>
      </c>
    </row>
    <row r="42" ht="15.75" customHeight="1">
      <c r="A42" s="62"/>
      <c r="B42" s="77" t="s">
        <v>750</v>
      </c>
      <c r="C42" s="78"/>
      <c r="D42" s="84"/>
      <c r="E42" s="80"/>
      <c r="F42" s="85"/>
    </row>
    <row r="43" ht="15.75" customHeight="1">
      <c r="A43" s="62"/>
      <c r="B43" s="83" t="s">
        <v>751</v>
      </c>
      <c r="C43" s="78" t="s">
        <v>716</v>
      </c>
      <c r="D43" s="84"/>
      <c r="E43" s="80"/>
      <c r="F43" s="85"/>
    </row>
    <row r="44" ht="31.5" customHeight="1">
      <c r="A44" s="62"/>
      <c r="B44" s="83" t="s">
        <v>752</v>
      </c>
      <c r="C44" s="78"/>
      <c r="D44" s="84"/>
      <c r="E44" s="80" t="s">
        <v>716</v>
      </c>
      <c r="F44" s="85" t="s">
        <v>753</v>
      </c>
    </row>
    <row r="45" ht="31.5" customHeight="1">
      <c r="A45" s="62"/>
      <c r="B45" s="83" t="s">
        <v>754</v>
      </c>
      <c r="C45" s="78" t="s">
        <v>716</v>
      </c>
      <c r="D45" s="84"/>
      <c r="E45" s="80"/>
      <c r="F45" s="85"/>
    </row>
    <row r="46" ht="15.75" customHeight="1">
      <c r="A46" s="62"/>
      <c r="B46" s="77" t="s">
        <v>755</v>
      </c>
      <c r="C46" s="78"/>
      <c r="D46" s="84"/>
      <c r="E46" s="80"/>
      <c r="F46" s="85"/>
    </row>
    <row r="47" ht="31.5" customHeight="1">
      <c r="A47" s="62"/>
      <c r="B47" s="83" t="s">
        <v>756</v>
      </c>
      <c r="C47" s="78"/>
      <c r="D47" s="84" t="s">
        <v>716</v>
      </c>
      <c r="E47" s="80"/>
      <c r="F47" s="85" t="s">
        <v>757</v>
      </c>
    </row>
    <row r="48" ht="31.5" customHeight="1">
      <c r="A48" s="62"/>
      <c r="B48" s="83" t="s">
        <v>758</v>
      </c>
      <c r="C48" s="78" t="s">
        <v>716</v>
      </c>
      <c r="D48" s="84"/>
      <c r="E48" s="80"/>
      <c r="F48" s="81"/>
    </row>
    <row r="49" ht="15.75" customHeight="1">
      <c r="A49" s="86"/>
      <c r="B49" s="83" t="s">
        <v>759</v>
      </c>
      <c r="C49" s="78" t="s">
        <v>716</v>
      </c>
      <c r="D49" s="84"/>
      <c r="E49" s="80"/>
      <c r="F49" s="81"/>
    </row>
    <row r="50" ht="15.75" customHeight="1">
      <c r="A50" s="62"/>
      <c r="B50" s="77" t="s">
        <v>760</v>
      </c>
      <c r="C50" s="78"/>
      <c r="D50" s="84"/>
      <c r="E50" s="80"/>
      <c r="F50" s="81"/>
    </row>
    <row r="51" ht="31.5" customHeight="1">
      <c r="A51" s="62"/>
      <c r="B51" s="83" t="s">
        <v>761</v>
      </c>
      <c r="C51" s="78" t="s">
        <v>716</v>
      </c>
      <c r="D51" s="84"/>
      <c r="E51" s="80"/>
      <c r="F51" s="81"/>
    </row>
    <row r="52" ht="31.5" customHeight="1">
      <c r="A52" s="62"/>
      <c r="B52" s="83" t="s">
        <v>762</v>
      </c>
      <c r="C52" s="78" t="s">
        <v>716</v>
      </c>
      <c r="D52" s="84"/>
      <c r="E52" s="80"/>
      <c r="F52" s="81"/>
    </row>
    <row r="53" ht="31.5" customHeight="1">
      <c r="A53" s="62"/>
      <c r="B53" s="83" t="s">
        <v>763</v>
      </c>
      <c r="C53" s="78" t="s">
        <v>716</v>
      </c>
      <c r="D53" s="84"/>
      <c r="E53" s="80"/>
      <c r="F53" s="81"/>
    </row>
    <row r="54" ht="47.25" customHeight="1">
      <c r="A54" s="86"/>
      <c r="B54" s="83" t="s">
        <v>764</v>
      </c>
      <c r="C54" s="78" t="s">
        <v>716</v>
      </c>
      <c r="D54" s="79"/>
      <c r="E54" s="80"/>
      <c r="F54" s="81"/>
    </row>
    <row r="55" ht="14.25" customHeight="1">
      <c r="A55" s="86"/>
      <c r="B55" s="87"/>
      <c r="C55" s="88"/>
      <c r="D55" s="89"/>
      <c r="E55" s="90"/>
      <c r="F55" s="91"/>
    </row>
    <row r="56" ht="14.25" customHeight="1">
      <c r="A56" s="62"/>
      <c r="B56" s="92"/>
      <c r="C56" s="93">
        <f>COUNTIF(C12:C55,"x")</f>
        <v>29</v>
      </c>
      <c r="D56" s="93">
        <f>COUNTIF(D12:D55,"x")</f>
        <v>2</v>
      </c>
      <c r="E56" s="93">
        <f>COUNTIF(E12:E55,"x")</f>
        <v>5</v>
      </c>
      <c r="F56" s="92"/>
    </row>
    <row r="57" ht="14.25" customHeight="1">
      <c r="A57" s="86"/>
      <c r="B57" s="94" t="s">
        <v>765</v>
      </c>
      <c r="C57" s="95"/>
      <c r="D57" s="95"/>
      <c r="E57" s="95"/>
      <c r="F57" s="96"/>
    </row>
    <row r="58" ht="14.25" customHeight="1">
      <c r="A58" s="86"/>
      <c r="B58" s="92" t="s">
        <v>766</v>
      </c>
      <c r="C58" s="97"/>
      <c r="D58" s="97"/>
      <c r="E58" s="97"/>
      <c r="F58" s="98"/>
    </row>
    <row r="59" ht="14.25" customHeight="1">
      <c r="A59" s="86"/>
      <c r="B59" s="99"/>
      <c r="F59" s="100"/>
    </row>
    <row r="60" ht="14.25" customHeight="1">
      <c r="A60" s="86"/>
      <c r="B60" s="101"/>
      <c r="C60" s="102"/>
      <c r="D60" s="102"/>
      <c r="E60" s="102"/>
      <c r="F60" s="103"/>
    </row>
    <row r="61" ht="14.25" customHeight="1">
      <c r="A61" s="62"/>
      <c r="B61" s="94" t="s">
        <v>767</v>
      </c>
      <c r="C61" s="95"/>
      <c r="D61" s="95"/>
      <c r="E61" s="95"/>
      <c r="F61" s="96"/>
    </row>
    <row r="62" ht="14.25" customHeight="1">
      <c r="A62" s="62"/>
      <c r="B62" s="92" t="s">
        <v>768</v>
      </c>
      <c r="C62" s="95"/>
      <c r="D62" s="95"/>
      <c r="E62" s="95"/>
      <c r="F62" s="96"/>
    </row>
    <row r="63" ht="14.25" customHeight="1">
      <c r="A63" s="62"/>
      <c r="B63" s="104" t="s">
        <v>769</v>
      </c>
      <c r="C63" s="95"/>
      <c r="D63" s="95"/>
      <c r="E63" s="95"/>
      <c r="F63" s="96"/>
    </row>
    <row r="64" ht="14.25" customHeight="1">
      <c r="A64" s="62"/>
      <c r="B64" s="92" t="s">
        <v>770</v>
      </c>
      <c r="C64" s="95"/>
      <c r="D64" s="95"/>
      <c r="E64" s="95"/>
      <c r="F64" s="96"/>
    </row>
    <row r="65" ht="14.25" customHeight="1">
      <c r="A65" s="62"/>
      <c r="B65" s="92" t="s">
        <v>771</v>
      </c>
      <c r="C65" s="95"/>
      <c r="D65" s="95"/>
      <c r="E65" s="95"/>
      <c r="F65" s="96"/>
    </row>
    <row r="66" ht="14.25" customHeight="1">
      <c r="A66" s="62"/>
      <c r="B66" s="105" t="s">
        <v>772</v>
      </c>
      <c r="C66" s="95"/>
      <c r="D66" s="95"/>
      <c r="E66" s="95"/>
      <c r="F66" s="96"/>
    </row>
    <row r="67" ht="14.25" customHeight="1">
      <c r="A67" s="62"/>
      <c r="B67" s="62"/>
      <c r="C67" s="62"/>
      <c r="D67" s="62"/>
      <c r="E67" s="62"/>
      <c r="F67" s="62"/>
    </row>
    <row r="68" ht="14.25" customHeight="1">
      <c r="A68" s="62"/>
      <c r="B68" s="62"/>
      <c r="C68" s="62"/>
      <c r="D68" s="62"/>
      <c r="E68" s="62"/>
      <c r="F68" s="62"/>
    </row>
  </sheetData>
  <mergeCells count="17">
    <mergeCell ref="B65:F65"/>
    <mergeCell ref="C9:F9"/>
    <mergeCell ref="C3:F3"/>
    <mergeCell ref="C8:F8"/>
    <mergeCell ref="B62:F62"/>
    <mergeCell ref="C4:F4"/>
    <mergeCell ref="B64:F64"/>
    <mergeCell ref="C6:F6"/>
    <mergeCell ref="B1:F2"/>
    <mergeCell ref="C7:F7"/>
    <mergeCell ref="B58:F60"/>
    <mergeCell ref="B61:F61"/>
    <mergeCell ref="B63:F63"/>
    <mergeCell ref="B66:F66"/>
    <mergeCell ref="C10:F10"/>
    <mergeCell ref="C5:F5"/>
    <mergeCell ref="B57:F57"/>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bestFit="1" customWidth="1" min="1" max="1" style="106" width="149.8515625"/>
    <col bestFit="1" customWidth="1" min="2" max="2" style="106" width="3.57421875"/>
    <col bestFit="1" customWidth="1" min="3" max="3" style="106" width="7.421875"/>
    <col customWidth="1" min="4" max="4" style="106" width="10.7109375"/>
    <col bestFit="1" customWidth="1" min="5" max="5" style="106" width="56.57421875"/>
    <col bestFit="1" customWidth="1" min="6" max="6" style="106" width="10.00390625"/>
    <col customWidth="1" min="7" max="16384" style="106" width="9.140625"/>
  </cols>
  <sheetData>
    <row r="1" ht="21.75" customHeight="1">
      <c r="A1" s="107" t="s">
        <v>773</v>
      </c>
      <c r="G1" s="108"/>
      <c r="H1" s="108"/>
      <c r="I1" s="107"/>
      <c r="J1" s="107"/>
      <c r="K1" s="107"/>
      <c r="L1" s="107"/>
      <c r="M1" s="107"/>
      <c r="N1" s="108"/>
      <c r="O1" s="108"/>
      <c r="P1" s="108"/>
      <c r="Q1" s="108"/>
      <c r="R1" s="108"/>
      <c r="S1" s="108"/>
      <c r="T1" s="108"/>
      <c r="U1" s="108"/>
      <c r="V1" s="108"/>
      <c r="W1" s="108"/>
      <c r="X1" s="108"/>
      <c r="Y1" s="108"/>
      <c r="Z1" s="108"/>
    </row>
    <row r="2" ht="21.75" customHeight="1">
      <c r="A2" s="109" t="s">
        <v>671</v>
      </c>
      <c r="B2" s="110" t="s">
        <v>672</v>
      </c>
      <c r="C2" s="111"/>
      <c r="D2" s="111"/>
      <c r="E2" s="111"/>
      <c r="F2" s="112"/>
      <c r="G2" s="108"/>
      <c r="H2" s="108"/>
      <c r="I2" s="107"/>
      <c r="J2" s="107"/>
      <c r="K2" s="107"/>
      <c r="L2" s="107"/>
      <c r="M2" s="107"/>
      <c r="N2" s="108"/>
      <c r="O2" s="108"/>
      <c r="P2" s="108"/>
      <c r="Q2" s="108"/>
      <c r="R2" s="108"/>
      <c r="S2" s="108"/>
      <c r="T2" s="108"/>
      <c r="U2" s="108"/>
      <c r="V2" s="108"/>
      <c r="W2" s="108"/>
      <c r="X2" s="108"/>
      <c r="Y2" s="108"/>
      <c r="Z2" s="108"/>
    </row>
    <row r="3" ht="21.75" customHeight="1">
      <c r="A3" s="109" t="s">
        <v>673</v>
      </c>
      <c r="B3" s="110" t="s">
        <v>674</v>
      </c>
      <c r="C3" s="111"/>
      <c r="D3" s="111"/>
      <c r="E3" s="111"/>
      <c r="F3" s="112"/>
      <c r="G3" s="108"/>
      <c r="H3" s="108"/>
      <c r="I3" s="107"/>
      <c r="J3" s="107"/>
      <c r="K3" s="107"/>
      <c r="L3" s="107"/>
      <c r="M3" s="107"/>
      <c r="N3" s="108"/>
      <c r="O3" s="108"/>
      <c r="P3" s="108"/>
      <c r="Q3" s="108"/>
      <c r="R3" s="108"/>
      <c r="S3" s="108"/>
      <c r="T3" s="108"/>
      <c r="U3" s="108"/>
      <c r="V3" s="108"/>
      <c r="W3" s="108"/>
      <c r="X3" s="108"/>
      <c r="Y3" s="108"/>
      <c r="Z3" s="108"/>
    </row>
    <row r="4" ht="19.5" customHeight="1">
      <c r="A4" s="109" t="s">
        <v>774</v>
      </c>
      <c r="B4" s="110" t="s">
        <v>676</v>
      </c>
      <c r="C4" s="111"/>
      <c r="D4" s="111"/>
      <c r="E4" s="111"/>
      <c r="F4" s="112"/>
      <c r="G4" s="108"/>
      <c r="H4" s="108"/>
      <c r="I4" s="107"/>
      <c r="J4" s="107"/>
      <c r="K4" s="107"/>
      <c r="L4" s="107"/>
      <c r="M4" s="107"/>
      <c r="N4" s="108"/>
      <c r="O4" s="108"/>
      <c r="P4" s="108"/>
      <c r="Q4" s="108"/>
      <c r="R4" s="108"/>
      <c r="S4" s="108"/>
      <c r="T4" s="108"/>
      <c r="U4" s="108"/>
      <c r="V4" s="108"/>
      <c r="W4" s="108"/>
      <c r="X4" s="108"/>
      <c r="Y4" s="108"/>
      <c r="Z4" s="108"/>
    </row>
    <row r="5" ht="21.75" customHeight="1">
      <c r="A5" s="109" t="s">
        <v>775</v>
      </c>
      <c r="B5" s="110">
        <v>1</v>
      </c>
      <c r="C5" s="111"/>
      <c r="D5" s="111"/>
      <c r="E5" s="111"/>
      <c r="F5" s="112"/>
      <c r="G5" s="108"/>
      <c r="H5" s="108"/>
      <c r="I5" s="107"/>
      <c r="J5" s="107"/>
      <c r="K5" s="107"/>
      <c r="L5" s="107"/>
      <c r="M5" s="107"/>
      <c r="N5" s="108"/>
      <c r="O5" s="108"/>
      <c r="P5" s="108"/>
      <c r="Q5" s="108"/>
      <c r="R5" s="108"/>
      <c r="S5" s="108"/>
      <c r="T5" s="108"/>
      <c r="U5" s="108"/>
      <c r="V5" s="108"/>
      <c r="W5" s="108"/>
      <c r="X5" s="108"/>
      <c r="Y5" s="108"/>
      <c r="Z5" s="108"/>
    </row>
    <row r="6" ht="21.75" customHeight="1">
      <c r="A6" s="109" t="s">
        <v>776</v>
      </c>
      <c r="B6" s="110" t="s">
        <v>50</v>
      </c>
      <c r="C6" s="111"/>
      <c r="D6" s="111"/>
      <c r="E6" s="111"/>
      <c r="F6" s="112"/>
      <c r="G6" s="108"/>
      <c r="H6" s="108"/>
      <c r="I6" s="107"/>
      <c r="J6" s="107"/>
      <c r="K6" s="107"/>
      <c r="L6" s="107"/>
      <c r="M6" s="107"/>
      <c r="N6" s="108"/>
      <c r="O6" s="108"/>
      <c r="P6" s="108"/>
      <c r="Q6" s="108"/>
      <c r="R6" s="108"/>
      <c r="S6" s="108"/>
      <c r="T6" s="108"/>
      <c r="U6" s="108"/>
      <c r="V6" s="108"/>
      <c r="W6" s="108"/>
      <c r="X6" s="108"/>
      <c r="Y6" s="108"/>
      <c r="Z6" s="108"/>
    </row>
    <row r="7" ht="21.75" customHeight="1">
      <c r="A7" s="109" t="s">
        <v>777</v>
      </c>
      <c r="B7" s="113" t="s">
        <v>707</v>
      </c>
      <c r="C7" s="111"/>
      <c r="D7" s="111"/>
      <c r="E7" s="111"/>
      <c r="F7" s="112"/>
      <c r="G7" s="108"/>
      <c r="H7" s="108"/>
      <c r="I7" s="107"/>
      <c r="J7" s="107"/>
      <c r="K7" s="107"/>
      <c r="L7" s="107"/>
      <c r="M7" s="107"/>
      <c r="N7" s="108"/>
      <c r="O7" s="108"/>
      <c r="P7" s="108"/>
      <c r="Q7" s="108"/>
      <c r="R7" s="108"/>
      <c r="S7" s="108"/>
      <c r="T7" s="108"/>
      <c r="U7" s="108"/>
      <c r="V7" s="108"/>
      <c r="W7" s="108"/>
      <c r="X7" s="108"/>
      <c r="Y7" s="108"/>
      <c r="Z7" s="108"/>
    </row>
    <row r="8" ht="21.75" customHeight="1">
      <c r="A8" s="109" t="s">
        <v>778</v>
      </c>
      <c r="B8" s="110" t="s">
        <v>779</v>
      </c>
      <c r="C8" s="111"/>
      <c r="D8" s="111"/>
      <c r="E8" s="111"/>
      <c r="F8" s="112"/>
      <c r="G8" s="108"/>
      <c r="H8" s="108"/>
      <c r="I8" s="107"/>
      <c r="J8" s="107"/>
      <c r="K8" s="107"/>
      <c r="L8" s="107"/>
      <c r="M8" s="107"/>
      <c r="N8" s="108"/>
      <c r="O8" s="108"/>
      <c r="P8" s="108"/>
      <c r="Q8" s="108"/>
      <c r="R8" s="108"/>
      <c r="S8" s="108"/>
      <c r="T8" s="108"/>
      <c r="U8" s="108"/>
      <c r="V8" s="108"/>
      <c r="W8" s="108"/>
      <c r="X8" s="108"/>
      <c r="Y8" s="108"/>
      <c r="Z8" s="108"/>
    </row>
    <row r="9" ht="21.75" customHeight="1">
      <c r="A9" s="109" t="s">
        <v>780</v>
      </c>
      <c r="B9" s="110">
        <v>8</v>
      </c>
      <c r="C9" s="111"/>
      <c r="D9" s="111"/>
      <c r="E9" s="111"/>
      <c r="F9" s="112"/>
      <c r="G9" s="108"/>
      <c r="H9" s="108"/>
      <c r="I9" s="107"/>
      <c r="J9" s="107"/>
      <c r="K9" s="107"/>
      <c r="L9" s="107"/>
      <c r="M9" s="107"/>
      <c r="N9" s="108"/>
      <c r="O9" s="108"/>
      <c r="P9" s="108"/>
      <c r="Q9" s="108"/>
      <c r="R9" s="108"/>
      <c r="S9" s="108"/>
      <c r="T9" s="108"/>
      <c r="U9" s="108"/>
      <c r="V9" s="108"/>
      <c r="W9" s="108"/>
      <c r="X9" s="108"/>
      <c r="Y9" s="108"/>
      <c r="Z9" s="108"/>
    </row>
    <row r="10" ht="21.75" customHeight="1">
      <c r="A10" s="114" t="s">
        <v>711</v>
      </c>
      <c r="B10" s="114" t="s">
        <v>712</v>
      </c>
      <c r="C10" s="114" t="s">
        <v>713</v>
      </c>
      <c r="D10" s="114" t="s">
        <v>57</v>
      </c>
      <c r="E10" s="115" t="s">
        <v>66</v>
      </c>
      <c r="F10" s="116" t="s">
        <v>781</v>
      </c>
      <c r="G10" s="108"/>
      <c r="H10" s="108"/>
      <c r="I10" s="107"/>
      <c r="J10" s="107"/>
      <c r="K10" s="107"/>
      <c r="L10" s="107"/>
      <c r="M10" s="107"/>
      <c r="N10" s="108"/>
      <c r="O10" s="108"/>
      <c r="P10" s="108"/>
      <c r="Q10" s="108"/>
      <c r="R10" s="108"/>
      <c r="S10" s="108"/>
      <c r="T10" s="108"/>
      <c r="U10" s="108"/>
      <c r="V10" s="108"/>
      <c r="W10" s="108"/>
      <c r="X10" s="108"/>
      <c r="Y10" s="108"/>
      <c r="Z10" s="108"/>
    </row>
    <row r="11">
      <c r="A11" s="117" t="s">
        <v>782</v>
      </c>
      <c r="B11" s="118"/>
      <c r="C11" s="118"/>
      <c r="D11" s="118"/>
      <c r="E11" s="119"/>
      <c r="F11" s="120"/>
      <c r="G11" s="108"/>
      <c r="H11" s="108"/>
      <c r="I11" s="108"/>
      <c r="J11" s="108"/>
      <c r="K11" s="108"/>
      <c r="L11" s="108"/>
      <c r="M11" s="108"/>
      <c r="N11" s="108"/>
      <c r="O11" s="108"/>
      <c r="P11" s="108"/>
      <c r="Q11" s="108"/>
      <c r="R11" s="108"/>
      <c r="S11" s="108"/>
      <c r="T11" s="108"/>
      <c r="U11" s="108"/>
    </row>
    <row r="12">
      <c r="A12" s="121" t="s">
        <v>783</v>
      </c>
      <c r="B12" s="122"/>
      <c r="C12" s="122"/>
      <c r="D12" s="122"/>
      <c r="E12" s="123"/>
      <c r="F12" s="124" t="s">
        <v>784</v>
      </c>
      <c r="G12" s="108"/>
      <c r="H12" s="108"/>
      <c r="I12" s="108"/>
      <c r="J12" s="108"/>
      <c r="K12" s="108"/>
      <c r="L12" s="108"/>
      <c r="M12" s="108"/>
      <c r="N12" s="108"/>
      <c r="O12" s="108"/>
      <c r="P12" s="108"/>
      <c r="Q12" s="108"/>
      <c r="R12" s="108"/>
      <c r="S12" s="108"/>
      <c r="T12" s="108"/>
      <c r="U12" s="108"/>
    </row>
    <row r="13">
      <c r="A13" s="121" t="s">
        <v>785</v>
      </c>
      <c r="B13" s="122" t="s">
        <v>716</v>
      </c>
      <c r="C13" s="122"/>
      <c r="D13" s="122"/>
      <c r="E13" s="123"/>
      <c r="F13" s="124" t="s">
        <v>784</v>
      </c>
      <c r="G13" s="108"/>
      <c r="H13" s="108"/>
      <c r="I13" s="108"/>
      <c r="J13" s="108"/>
      <c r="K13" s="108"/>
      <c r="L13" s="108"/>
      <c r="M13" s="108"/>
      <c r="N13" s="108"/>
      <c r="O13" s="108"/>
      <c r="P13" s="108"/>
      <c r="Q13" s="108"/>
      <c r="R13" s="108"/>
      <c r="S13" s="108"/>
      <c r="T13" s="108"/>
      <c r="U13" s="108"/>
    </row>
    <row r="14">
      <c r="A14" s="121" t="s">
        <v>786</v>
      </c>
      <c r="B14" s="122" t="s">
        <v>716</v>
      </c>
      <c r="C14" s="122"/>
      <c r="D14" s="122"/>
      <c r="E14" s="125" t="s">
        <v>787</v>
      </c>
      <c r="F14" s="124" t="s">
        <v>784</v>
      </c>
      <c r="G14" s="108"/>
      <c r="H14" s="108"/>
      <c r="I14" s="108"/>
      <c r="J14" s="108"/>
      <c r="K14" s="108"/>
      <c r="L14" s="108"/>
      <c r="M14" s="108"/>
      <c r="N14" s="108"/>
      <c r="O14" s="108"/>
      <c r="P14" s="108"/>
      <c r="Q14" s="108"/>
      <c r="R14" s="108"/>
      <c r="S14" s="108"/>
      <c r="T14" s="108"/>
      <c r="U14" s="108"/>
    </row>
    <row r="15">
      <c r="A15" s="121" t="s">
        <v>788</v>
      </c>
      <c r="B15" s="122" t="s">
        <v>716</v>
      </c>
      <c r="C15" s="122"/>
      <c r="D15" s="122"/>
      <c r="E15" s="123"/>
      <c r="F15" s="124" t="s">
        <v>784</v>
      </c>
      <c r="G15" s="108"/>
      <c r="H15" s="108"/>
      <c r="I15" s="108"/>
      <c r="J15" s="108"/>
      <c r="K15" s="108"/>
      <c r="L15" s="108"/>
      <c r="M15" s="108"/>
      <c r="N15" s="108"/>
      <c r="O15" s="108"/>
      <c r="P15" s="108"/>
      <c r="Q15" s="108"/>
      <c r="R15" s="108"/>
      <c r="S15" s="108"/>
      <c r="T15" s="108"/>
      <c r="U15" s="108"/>
    </row>
    <row r="16">
      <c r="A16" s="121" t="s">
        <v>789</v>
      </c>
      <c r="B16" s="122" t="s">
        <v>716</v>
      </c>
      <c r="C16" s="122"/>
      <c r="D16" s="122"/>
      <c r="E16" s="123"/>
      <c r="F16" s="124" t="s">
        <v>784</v>
      </c>
      <c r="G16" s="108"/>
      <c r="H16" s="108"/>
      <c r="I16" s="108"/>
      <c r="J16" s="108"/>
      <c r="K16" s="108"/>
      <c r="L16" s="108"/>
      <c r="M16" s="108"/>
      <c r="N16" s="108"/>
      <c r="O16" s="108"/>
      <c r="P16" s="108"/>
      <c r="Q16" s="108"/>
      <c r="R16" s="108"/>
      <c r="S16" s="108"/>
      <c r="T16" s="108"/>
      <c r="U16" s="108"/>
    </row>
    <row r="17">
      <c r="A17" s="121" t="s">
        <v>790</v>
      </c>
      <c r="B17" s="122" t="s">
        <v>716</v>
      </c>
      <c r="C17" s="122"/>
      <c r="D17" s="122"/>
      <c r="E17" s="123"/>
      <c r="F17" s="124" t="s">
        <v>784</v>
      </c>
      <c r="G17" s="108"/>
      <c r="H17" s="108"/>
      <c r="I17" s="108"/>
      <c r="J17" s="108"/>
      <c r="K17" s="108"/>
      <c r="L17" s="108"/>
      <c r="M17" s="108"/>
      <c r="N17" s="108"/>
      <c r="O17" s="108"/>
      <c r="P17" s="108"/>
      <c r="Q17" s="108"/>
      <c r="R17" s="108"/>
      <c r="S17" s="108"/>
      <c r="T17" s="108"/>
      <c r="U17" s="108"/>
    </row>
    <row r="18">
      <c r="A18" s="121" t="s">
        <v>791</v>
      </c>
      <c r="B18" s="122" t="s">
        <v>716</v>
      </c>
      <c r="C18" s="122"/>
      <c r="D18" s="122"/>
      <c r="E18" s="123"/>
      <c r="F18" s="124" t="s">
        <v>784</v>
      </c>
      <c r="G18" s="108"/>
      <c r="H18" s="108"/>
      <c r="I18" s="108"/>
      <c r="J18" s="108"/>
      <c r="K18" s="108"/>
      <c r="L18" s="108"/>
      <c r="M18" s="108"/>
      <c r="N18" s="108"/>
      <c r="O18" s="108"/>
      <c r="P18" s="108"/>
      <c r="Q18" s="108"/>
      <c r="R18" s="108"/>
      <c r="S18" s="108"/>
      <c r="T18" s="108"/>
      <c r="U18" s="108"/>
    </row>
    <row r="19">
      <c r="A19" s="121" t="s">
        <v>792</v>
      </c>
      <c r="B19" s="122"/>
      <c r="C19" s="122"/>
      <c r="D19" s="126"/>
      <c r="E19" s="127" t="s">
        <v>793</v>
      </c>
      <c r="F19" s="124"/>
      <c r="G19" s="108"/>
      <c r="H19" s="108"/>
      <c r="I19" s="108"/>
      <c r="J19" s="108"/>
      <c r="K19" s="108"/>
      <c r="L19" s="108"/>
      <c r="M19" s="108"/>
      <c r="N19" s="108"/>
      <c r="O19" s="108"/>
      <c r="P19" s="108"/>
      <c r="Q19" s="108"/>
      <c r="R19" s="108"/>
      <c r="S19" s="108"/>
      <c r="T19" s="108"/>
      <c r="U19" s="108"/>
    </row>
    <row r="20" ht="14.25" customHeight="1">
      <c r="A20" s="121" t="s">
        <v>794</v>
      </c>
      <c r="B20" s="122"/>
      <c r="C20" s="122"/>
      <c r="D20" s="126" t="s">
        <v>716</v>
      </c>
      <c r="F20" s="124" t="s">
        <v>784</v>
      </c>
      <c r="G20" s="108"/>
      <c r="H20" s="108"/>
      <c r="I20" s="108"/>
      <c r="J20" s="108"/>
      <c r="K20" s="108"/>
      <c r="L20" s="108"/>
      <c r="M20" s="108"/>
      <c r="N20" s="108"/>
      <c r="O20" s="108"/>
      <c r="P20" s="108"/>
      <c r="Q20" s="108"/>
      <c r="R20" s="108"/>
      <c r="S20" s="108"/>
      <c r="T20" s="108"/>
      <c r="U20" s="108"/>
    </row>
    <row r="21">
      <c r="A21" s="128" t="s">
        <v>795</v>
      </c>
      <c r="B21" s="118"/>
      <c r="C21" s="118"/>
      <c r="D21" s="118"/>
      <c r="E21" s="129"/>
      <c r="F21" s="130"/>
      <c r="G21" s="108"/>
      <c r="H21" s="108"/>
      <c r="I21" s="108"/>
      <c r="J21" s="108"/>
      <c r="K21" s="108"/>
      <c r="L21" s="108"/>
      <c r="M21" s="108"/>
      <c r="N21" s="108"/>
      <c r="O21" s="108"/>
      <c r="P21" s="108"/>
      <c r="Q21" s="108"/>
      <c r="R21" s="108"/>
      <c r="S21" s="108"/>
      <c r="T21" s="108"/>
      <c r="U21" s="108"/>
    </row>
    <row r="22">
      <c r="A22" s="121" t="s">
        <v>796</v>
      </c>
      <c r="B22" s="122" t="s">
        <v>716</v>
      </c>
      <c r="C22" s="122"/>
      <c r="D22" s="122"/>
      <c r="E22" s="123"/>
      <c r="F22" s="124" t="s">
        <v>784</v>
      </c>
      <c r="G22" s="108"/>
      <c r="H22" s="108"/>
      <c r="I22" s="108"/>
      <c r="J22" s="108"/>
      <c r="K22" s="108"/>
      <c r="L22" s="108"/>
      <c r="M22" s="108"/>
      <c r="N22" s="108"/>
      <c r="O22" s="108"/>
      <c r="P22" s="108"/>
      <c r="Q22" s="108"/>
      <c r="R22" s="108"/>
      <c r="S22" s="108"/>
      <c r="T22" s="108"/>
      <c r="U22" s="108"/>
    </row>
    <row r="23">
      <c r="A23" s="121" t="s">
        <v>797</v>
      </c>
      <c r="B23" s="122" t="s">
        <v>716</v>
      </c>
      <c r="C23" s="122"/>
      <c r="D23" s="122"/>
      <c r="E23" s="123"/>
      <c r="F23" s="124"/>
      <c r="G23" s="108"/>
      <c r="H23" s="108"/>
      <c r="I23" s="108"/>
      <c r="J23" s="108"/>
      <c r="K23" s="108"/>
      <c r="L23" s="108"/>
      <c r="M23" s="108"/>
      <c r="N23" s="108"/>
      <c r="O23" s="108"/>
      <c r="P23" s="108"/>
      <c r="Q23" s="108"/>
      <c r="R23" s="108"/>
      <c r="S23" s="108"/>
      <c r="T23" s="108"/>
      <c r="U23" s="108"/>
    </row>
    <row r="24">
      <c r="A24" s="121" t="s">
        <v>798</v>
      </c>
      <c r="B24" s="122" t="s">
        <v>716</v>
      </c>
      <c r="C24" s="122"/>
      <c r="D24" s="122"/>
      <c r="E24" s="123"/>
      <c r="F24" s="124" t="s">
        <v>784</v>
      </c>
      <c r="G24" s="108"/>
      <c r="H24" s="108"/>
      <c r="I24" s="108"/>
      <c r="J24" s="108"/>
      <c r="K24" s="108"/>
      <c r="L24" s="108"/>
      <c r="M24" s="108"/>
      <c r="N24" s="108"/>
      <c r="O24" s="108"/>
      <c r="P24" s="108"/>
      <c r="Q24" s="108"/>
      <c r="R24" s="108"/>
      <c r="S24" s="108"/>
      <c r="T24" s="108"/>
      <c r="U24" s="108"/>
    </row>
    <row r="25">
      <c r="A25" s="121" t="s">
        <v>799</v>
      </c>
      <c r="B25" s="122" t="s">
        <v>716</v>
      </c>
      <c r="C25" s="122"/>
      <c r="D25" s="122"/>
      <c r="E25" s="123"/>
      <c r="F25" s="124"/>
      <c r="G25" s="108"/>
      <c r="H25" s="108"/>
      <c r="I25" s="108"/>
      <c r="J25" s="108"/>
      <c r="K25" s="108"/>
      <c r="L25" s="108"/>
      <c r="M25" s="108"/>
      <c r="N25" s="108"/>
      <c r="O25" s="108"/>
      <c r="P25" s="108"/>
      <c r="Q25" s="108"/>
      <c r="R25" s="108"/>
      <c r="S25" s="108"/>
      <c r="T25" s="108"/>
      <c r="U25" s="108"/>
    </row>
    <row r="26">
      <c r="A26" s="121" t="s">
        <v>800</v>
      </c>
      <c r="B26" s="122"/>
      <c r="C26" s="122"/>
      <c r="D26" s="122"/>
      <c r="E26" s="123"/>
      <c r="F26" s="124"/>
      <c r="G26" s="108"/>
      <c r="H26" s="108"/>
      <c r="I26" s="108"/>
      <c r="J26" s="108"/>
      <c r="K26" s="108"/>
      <c r="L26" s="108"/>
      <c r="M26" s="108"/>
      <c r="N26" s="108"/>
      <c r="O26" s="108"/>
      <c r="P26" s="108"/>
      <c r="Q26" s="108"/>
      <c r="R26" s="108"/>
      <c r="S26" s="108"/>
      <c r="T26" s="108"/>
      <c r="U26" s="108"/>
    </row>
    <row r="27">
      <c r="A27" s="121" t="s">
        <v>801</v>
      </c>
      <c r="B27" s="122" t="s">
        <v>716</v>
      </c>
      <c r="C27" s="122"/>
      <c r="D27" s="122"/>
      <c r="E27" s="123"/>
      <c r="F27" s="124"/>
      <c r="G27" s="108"/>
      <c r="H27" s="108"/>
      <c r="I27" s="108"/>
      <c r="J27" s="108"/>
      <c r="K27" s="108"/>
      <c r="L27" s="108"/>
      <c r="M27" s="108"/>
      <c r="N27" s="108"/>
      <c r="O27" s="108"/>
      <c r="P27" s="108"/>
      <c r="Q27" s="108"/>
      <c r="R27" s="108"/>
      <c r="S27" s="108"/>
      <c r="T27" s="108"/>
      <c r="U27" s="108"/>
    </row>
    <row r="28">
      <c r="A28" s="121" t="s">
        <v>802</v>
      </c>
      <c r="B28" s="122" t="s">
        <v>716</v>
      </c>
      <c r="C28" s="122"/>
      <c r="D28" s="122"/>
      <c r="E28" s="123"/>
      <c r="F28" s="124"/>
      <c r="G28" s="108"/>
      <c r="H28" s="108"/>
      <c r="I28" s="108"/>
      <c r="J28" s="108"/>
      <c r="K28" s="108"/>
      <c r="L28" s="108"/>
      <c r="M28" s="108"/>
      <c r="N28" s="108"/>
      <c r="O28" s="108"/>
      <c r="P28" s="108"/>
      <c r="Q28" s="108"/>
      <c r="R28" s="108"/>
      <c r="S28" s="108"/>
      <c r="T28" s="108"/>
      <c r="U28" s="108"/>
    </row>
    <row r="29">
      <c r="A29" s="121" t="s">
        <v>803</v>
      </c>
      <c r="B29" s="122" t="s">
        <v>716</v>
      </c>
      <c r="C29" s="122"/>
      <c r="D29" s="122"/>
      <c r="E29" s="123"/>
      <c r="F29" s="124"/>
      <c r="G29" s="108"/>
      <c r="H29" s="108"/>
      <c r="I29" s="108"/>
      <c r="J29" s="108"/>
      <c r="K29" s="108"/>
      <c r="L29" s="108"/>
      <c r="M29" s="108"/>
      <c r="N29" s="108"/>
      <c r="O29" s="108"/>
      <c r="P29" s="108"/>
      <c r="Q29" s="108"/>
      <c r="R29" s="108"/>
      <c r="S29" s="108"/>
      <c r="T29" s="108"/>
      <c r="U29" s="108"/>
    </row>
    <row r="30">
      <c r="A30" s="121" t="s">
        <v>804</v>
      </c>
      <c r="B30" s="122" t="s">
        <v>716</v>
      </c>
      <c r="C30" s="122"/>
      <c r="D30" s="122"/>
      <c r="E30" s="123"/>
      <c r="F30" s="124" t="s">
        <v>784</v>
      </c>
      <c r="G30" s="108"/>
      <c r="H30" s="108"/>
      <c r="I30" s="108"/>
      <c r="J30" s="108"/>
      <c r="K30" s="108"/>
      <c r="L30" s="108"/>
      <c r="M30" s="108"/>
      <c r="N30" s="108"/>
      <c r="O30" s="108"/>
      <c r="P30" s="108"/>
      <c r="Q30" s="108"/>
      <c r="R30" s="108"/>
      <c r="S30" s="108"/>
      <c r="T30" s="108"/>
      <c r="U30" s="108"/>
    </row>
    <row r="31">
      <c r="A31" s="121" t="s">
        <v>805</v>
      </c>
      <c r="B31" s="122" t="s">
        <v>716</v>
      </c>
      <c r="C31" s="122"/>
      <c r="D31" s="122"/>
      <c r="E31" s="123"/>
      <c r="F31" s="124" t="s">
        <v>784</v>
      </c>
      <c r="G31" s="108"/>
      <c r="H31" s="108"/>
      <c r="I31" s="108"/>
      <c r="J31" s="108"/>
      <c r="K31" s="108"/>
      <c r="L31" s="108"/>
      <c r="M31" s="108"/>
      <c r="N31" s="108"/>
      <c r="O31" s="108"/>
      <c r="P31" s="108"/>
      <c r="Q31" s="108"/>
      <c r="R31" s="108"/>
      <c r="S31" s="108"/>
      <c r="T31" s="108"/>
      <c r="U31" s="108"/>
    </row>
    <row r="32">
      <c r="A32" s="128" t="s">
        <v>806</v>
      </c>
      <c r="B32" s="118"/>
      <c r="C32" s="118"/>
      <c r="D32" s="118"/>
      <c r="E32" s="129"/>
      <c r="F32" s="130"/>
      <c r="G32" s="108"/>
      <c r="H32" s="108"/>
      <c r="I32" s="108"/>
      <c r="J32" s="108"/>
      <c r="K32" s="108"/>
      <c r="L32" s="108"/>
      <c r="M32" s="108"/>
      <c r="N32" s="108"/>
      <c r="O32" s="108"/>
      <c r="P32" s="108"/>
      <c r="Q32" s="108"/>
      <c r="R32" s="108"/>
      <c r="S32" s="108"/>
      <c r="T32" s="108"/>
      <c r="U32" s="108"/>
    </row>
    <row r="33">
      <c r="A33" s="121" t="s">
        <v>807</v>
      </c>
      <c r="B33" s="122" t="s">
        <v>716</v>
      </c>
      <c r="C33" s="122"/>
      <c r="D33" s="122"/>
      <c r="E33" s="123"/>
      <c r="F33" s="124" t="s">
        <v>784</v>
      </c>
      <c r="G33" s="108"/>
      <c r="H33" s="108"/>
      <c r="I33" s="108"/>
      <c r="J33" s="108"/>
      <c r="K33" s="108"/>
      <c r="L33" s="108"/>
      <c r="M33" s="108"/>
      <c r="N33" s="108"/>
      <c r="O33" s="108"/>
      <c r="P33" s="108"/>
      <c r="Q33" s="108"/>
      <c r="R33" s="108"/>
      <c r="S33" s="108"/>
      <c r="T33" s="108"/>
      <c r="U33" s="108"/>
    </row>
    <row r="34">
      <c r="A34" s="121" t="s">
        <v>808</v>
      </c>
      <c r="B34" s="122" t="s">
        <v>716</v>
      </c>
      <c r="C34" s="122"/>
      <c r="D34" s="122"/>
      <c r="E34" s="123"/>
      <c r="F34" s="124" t="s">
        <v>784</v>
      </c>
      <c r="G34" s="108"/>
      <c r="H34" s="108"/>
      <c r="I34" s="108"/>
      <c r="J34" s="108"/>
      <c r="K34" s="108"/>
      <c r="L34" s="108"/>
      <c r="M34" s="108"/>
      <c r="N34" s="108"/>
      <c r="O34" s="108"/>
      <c r="P34" s="108"/>
      <c r="Q34" s="108"/>
      <c r="R34" s="108"/>
      <c r="S34" s="108"/>
      <c r="T34" s="108"/>
      <c r="U34" s="108"/>
    </row>
    <row r="35">
      <c r="A35" s="121" t="s">
        <v>809</v>
      </c>
      <c r="B35" s="122"/>
      <c r="C35" s="122"/>
      <c r="D35" s="122"/>
      <c r="E35" s="123"/>
      <c r="F35" s="124" t="s">
        <v>784</v>
      </c>
      <c r="G35" s="108"/>
      <c r="H35" s="108"/>
      <c r="I35" s="108"/>
      <c r="J35" s="108"/>
      <c r="K35" s="108"/>
      <c r="L35" s="108"/>
      <c r="M35" s="108"/>
      <c r="N35" s="108"/>
      <c r="O35" s="108"/>
      <c r="P35" s="108"/>
      <c r="Q35" s="108"/>
      <c r="R35" s="108"/>
      <c r="S35" s="108"/>
      <c r="T35" s="108"/>
      <c r="U35" s="108"/>
    </row>
    <row r="36">
      <c r="A36" s="121" t="s">
        <v>810</v>
      </c>
      <c r="B36" s="122" t="s">
        <v>716</v>
      </c>
      <c r="C36" s="122"/>
      <c r="D36" s="122"/>
      <c r="E36" s="123"/>
      <c r="F36" s="124"/>
      <c r="G36" s="108"/>
      <c r="H36" s="108"/>
      <c r="I36" s="108"/>
      <c r="J36" s="108"/>
      <c r="K36" s="108"/>
      <c r="L36" s="108"/>
      <c r="M36" s="108"/>
      <c r="N36" s="108"/>
      <c r="O36" s="108"/>
      <c r="P36" s="108"/>
      <c r="Q36" s="108"/>
      <c r="R36" s="108"/>
      <c r="S36" s="108"/>
      <c r="T36" s="108"/>
      <c r="U36" s="108"/>
    </row>
    <row r="37">
      <c r="A37" s="121" t="s">
        <v>811</v>
      </c>
      <c r="B37" s="122" t="s">
        <v>716</v>
      </c>
      <c r="C37" s="122"/>
      <c r="D37" s="122"/>
      <c r="E37" s="123"/>
      <c r="F37" s="124"/>
      <c r="G37" s="108"/>
      <c r="H37" s="108"/>
      <c r="I37" s="108"/>
      <c r="J37" s="108"/>
      <c r="K37" s="108"/>
      <c r="L37" s="108"/>
      <c r="M37" s="108"/>
      <c r="N37" s="108"/>
      <c r="O37" s="108"/>
      <c r="P37" s="108"/>
      <c r="Q37" s="108"/>
      <c r="R37" s="108"/>
      <c r="S37" s="108"/>
      <c r="T37" s="108"/>
      <c r="U37" s="108"/>
    </row>
    <row r="38">
      <c r="A38" s="121" t="s">
        <v>812</v>
      </c>
      <c r="B38" s="122" t="s">
        <v>716</v>
      </c>
      <c r="C38" s="122"/>
      <c r="D38" s="122"/>
      <c r="E38" s="123"/>
      <c r="F38" s="124"/>
      <c r="G38" s="108"/>
      <c r="H38" s="108"/>
      <c r="I38" s="108"/>
      <c r="J38" s="108"/>
      <c r="K38" s="108"/>
      <c r="L38" s="108"/>
      <c r="M38" s="108"/>
      <c r="N38" s="108"/>
      <c r="O38" s="108"/>
      <c r="P38" s="108"/>
      <c r="Q38" s="108"/>
      <c r="R38" s="108"/>
      <c r="S38" s="108"/>
      <c r="T38" s="108"/>
      <c r="U38" s="108"/>
    </row>
    <row r="39">
      <c r="A39" s="121" t="s">
        <v>813</v>
      </c>
      <c r="B39" s="122" t="s">
        <v>716</v>
      </c>
      <c r="C39" s="122"/>
      <c r="D39" s="122"/>
      <c r="E39" s="123"/>
      <c r="F39" s="124"/>
      <c r="G39" s="108"/>
      <c r="H39" s="108"/>
      <c r="I39" s="108"/>
      <c r="J39" s="108"/>
      <c r="K39" s="108"/>
      <c r="L39" s="108"/>
      <c r="M39" s="108"/>
      <c r="N39" s="108"/>
      <c r="O39" s="108"/>
      <c r="P39" s="108"/>
      <c r="Q39" s="108"/>
      <c r="R39" s="108"/>
      <c r="S39" s="108"/>
      <c r="T39" s="108"/>
      <c r="U39" s="108"/>
    </row>
    <row r="40">
      <c r="A40" s="121" t="s">
        <v>814</v>
      </c>
      <c r="B40" s="122" t="s">
        <v>716</v>
      </c>
      <c r="C40" s="122"/>
      <c r="D40" s="122"/>
      <c r="E40" s="125"/>
      <c r="F40" s="124"/>
      <c r="G40" s="108"/>
      <c r="H40" s="108"/>
      <c r="I40" s="108"/>
      <c r="J40" s="108"/>
      <c r="K40" s="108"/>
      <c r="L40" s="108"/>
      <c r="M40" s="108"/>
      <c r="N40" s="108"/>
      <c r="O40" s="108"/>
      <c r="P40" s="108"/>
      <c r="Q40" s="108"/>
      <c r="R40" s="108"/>
      <c r="S40" s="108"/>
      <c r="T40" s="108"/>
      <c r="U40" s="108"/>
    </row>
    <row r="41">
      <c r="A41" s="121" t="s">
        <v>815</v>
      </c>
      <c r="B41" s="122" t="s">
        <v>716</v>
      </c>
      <c r="C41" s="122"/>
      <c r="D41" s="122"/>
      <c r="E41" s="125"/>
      <c r="F41" s="124" t="s">
        <v>784</v>
      </c>
      <c r="G41" s="108"/>
      <c r="H41" s="108"/>
      <c r="I41" s="108"/>
      <c r="J41" s="108"/>
      <c r="K41" s="108"/>
      <c r="L41" s="108"/>
      <c r="M41" s="108"/>
      <c r="N41" s="108"/>
      <c r="O41" s="108"/>
      <c r="P41" s="108"/>
      <c r="Q41" s="108"/>
      <c r="R41" s="108"/>
      <c r="S41" s="108"/>
      <c r="T41" s="108"/>
      <c r="U41" s="108"/>
    </row>
    <row r="42">
      <c r="A42" s="121" t="s">
        <v>816</v>
      </c>
      <c r="B42" s="122" t="s">
        <v>716</v>
      </c>
      <c r="C42" s="122"/>
      <c r="D42" s="122"/>
      <c r="E42" s="125"/>
      <c r="F42" s="124"/>
      <c r="G42" s="108"/>
      <c r="H42" s="108"/>
      <c r="I42" s="108"/>
      <c r="J42" s="108"/>
      <c r="K42" s="108"/>
      <c r="L42" s="108"/>
      <c r="M42" s="108"/>
      <c r="N42" s="108"/>
      <c r="O42" s="108"/>
      <c r="P42" s="108"/>
      <c r="Q42" s="108"/>
      <c r="R42" s="108"/>
      <c r="S42" s="108"/>
      <c r="T42" s="108"/>
      <c r="U42" s="108"/>
    </row>
    <row r="43">
      <c r="A43" s="121" t="s">
        <v>817</v>
      </c>
      <c r="B43" s="122" t="s">
        <v>716</v>
      </c>
      <c r="C43" s="122"/>
      <c r="D43" s="122"/>
      <c r="E43" s="125" t="s">
        <v>818</v>
      </c>
      <c r="F43" s="124"/>
      <c r="G43" s="108"/>
      <c r="H43" s="108"/>
      <c r="I43" s="108"/>
      <c r="J43" s="108"/>
      <c r="K43" s="108"/>
      <c r="L43" s="108"/>
      <c r="M43" s="108"/>
      <c r="N43" s="108"/>
      <c r="O43" s="108"/>
      <c r="P43" s="108"/>
      <c r="Q43" s="108"/>
      <c r="R43" s="108"/>
      <c r="S43" s="108"/>
      <c r="T43" s="108"/>
      <c r="U43" s="108"/>
    </row>
    <row r="44">
      <c r="A44" s="128" t="s">
        <v>819</v>
      </c>
      <c r="B44" s="118"/>
      <c r="C44" s="118"/>
      <c r="D44" s="118"/>
      <c r="E44" s="131"/>
      <c r="F44" s="130"/>
      <c r="G44" s="108"/>
      <c r="H44" s="108"/>
      <c r="I44" s="108"/>
      <c r="J44" s="108"/>
      <c r="K44" s="108"/>
      <c r="L44" s="108"/>
      <c r="M44" s="108"/>
      <c r="N44" s="108"/>
      <c r="O44" s="108"/>
      <c r="P44" s="108"/>
      <c r="Q44" s="108"/>
      <c r="R44" s="108"/>
      <c r="S44" s="108"/>
      <c r="T44" s="108"/>
      <c r="U44" s="108"/>
    </row>
    <row r="45">
      <c r="A45" s="121" t="s">
        <v>820</v>
      </c>
      <c r="B45" s="122" t="s">
        <v>716</v>
      </c>
      <c r="C45" s="122"/>
      <c r="D45" s="122"/>
      <c r="E45" s="125"/>
      <c r="F45" s="124" t="s">
        <v>784</v>
      </c>
      <c r="G45" s="108"/>
      <c r="H45" s="108"/>
      <c r="I45" s="108"/>
      <c r="J45" s="108"/>
      <c r="K45" s="108"/>
      <c r="L45" s="108"/>
      <c r="M45" s="108"/>
      <c r="N45" s="108"/>
      <c r="O45" s="108"/>
      <c r="P45" s="108"/>
      <c r="Q45" s="108"/>
      <c r="R45" s="108"/>
      <c r="S45" s="108"/>
      <c r="T45" s="108"/>
      <c r="U45" s="108"/>
    </row>
    <row r="46">
      <c r="A46" s="121" t="s">
        <v>821</v>
      </c>
      <c r="B46" s="122" t="s">
        <v>716</v>
      </c>
      <c r="C46" s="122"/>
      <c r="D46" s="122"/>
      <c r="E46" s="125"/>
      <c r="F46" s="124" t="s">
        <v>784</v>
      </c>
      <c r="G46" s="108"/>
      <c r="H46" s="108"/>
      <c r="I46" s="108"/>
      <c r="J46" s="108"/>
      <c r="K46" s="108"/>
      <c r="L46" s="108"/>
      <c r="M46" s="108"/>
      <c r="N46" s="108"/>
      <c r="O46" s="108"/>
      <c r="P46" s="108"/>
      <c r="Q46" s="108"/>
      <c r="R46" s="108"/>
      <c r="S46" s="108"/>
      <c r="T46" s="108"/>
      <c r="U46" s="108"/>
    </row>
    <row r="47">
      <c r="A47" s="121" t="s">
        <v>822</v>
      </c>
      <c r="B47" s="122"/>
      <c r="C47" s="122" t="s">
        <v>716</v>
      </c>
      <c r="D47" s="122"/>
      <c r="E47" s="125" t="s">
        <v>823</v>
      </c>
      <c r="F47" s="124" t="s">
        <v>784</v>
      </c>
      <c r="G47" s="108"/>
      <c r="H47" s="108"/>
      <c r="I47" s="108"/>
      <c r="J47" s="108"/>
      <c r="K47" s="108"/>
      <c r="L47" s="108"/>
      <c r="M47" s="108"/>
      <c r="N47" s="108"/>
      <c r="O47" s="108"/>
      <c r="P47" s="108"/>
      <c r="Q47" s="108"/>
      <c r="R47" s="108"/>
      <c r="S47" s="108"/>
      <c r="T47" s="108"/>
      <c r="U47" s="108"/>
    </row>
    <row r="48">
      <c r="A48" s="121" t="s">
        <v>824</v>
      </c>
      <c r="B48" s="122" t="s">
        <v>716</v>
      </c>
      <c r="C48" s="122"/>
      <c r="D48" s="122"/>
      <c r="E48" s="125"/>
      <c r="F48" s="124" t="s">
        <v>784</v>
      </c>
      <c r="G48" s="108"/>
      <c r="H48" s="108"/>
      <c r="I48" s="108"/>
      <c r="J48" s="108"/>
      <c r="K48" s="108"/>
      <c r="L48" s="108"/>
      <c r="M48" s="108"/>
      <c r="N48" s="108"/>
      <c r="O48" s="108"/>
      <c r="P48" s="108"/>
      <c r="Q48" s="108"/>
      <c r="R48" s="108"/>
      <c r="S48" s="108"/>
      <c r="T48" s="108"/>
      <c r="U48" s="108"/>
    </row>
    <row r="49">
      <c r="A49" s="121" t="s">
        <v>825</v>
      </c>
      <c r="B49" s="122" t="s">
        <v>716</v>
      </c>
      <c r="C49" s="122"/>
      <c r="D49" s="122"/>
      <c r="E49" s="125"/>
      <c r="F49" s="124"/>
      <c r="G49" s="108"/>
      <c r="H49" s="108"/>
      <c r="I49" s="108"/>
      <c r="J49" s="108"/>
      <c r="K49" s="108"/>
      <c r="L49" s="108"/>
      <c r="M49" s="108"/>
      <c r="N49" s="108"/>
      <c r="O49" s="108"/>
      <c r="P49" s="108"/>
      <c r="Q49" s="108"/>
      <c r="R49" s="108"/>
      <c r="S49" s="108"/>
      <c r="T49" s="108"/>
      <c r="U49" s="108"/>
    </row>
    <row r="50">
      <c r="A50" s="121" t="s">
        <v>826</v>
      </c>
      <c r="B50" s="126"/>
      <c r="C50" s="122" t="s">
        <v>716</v>
      </c>
      <c r="D50" s="126"/>
      <c r="E50" s="125" t="s">
        <v>827</v>
      </c>
      <c r="F50" s="124" t="s">
        <v>784</v>
      </c>
      <c r="G50" s="108"/>
      <c r="H50" s="108"/>
      <c r="I50" s="108"/>
      <c r="J50" s="108"/>
      <c r="K50" s="108"/>
      <c r="L50" s="108"/>
      <c r="M50" s="108"/>
      <c r="N50" s="108"/>
      <c r="O50" s="108"/>
      <c r="P50" s="108"/>
      <c r="Q50" s="108"/>
      <c r="R50" s="108"/>
      <c r="S50" s="108"/>
      <c r="T50" s="108"/>
      <c r="U50" s="108"/>
    </row>
    <row r="51">
      <c r="A51" s="121" t="s">
        <v>828</v>
      </c>
      <c r="B51" s="122" t="s">
        <v>716</v>
      </c>
      <c r="C51" s="122"/>
      <c r="D51" s="122"/>
      <c r="E51" s="125"/>
      <c r="F51" s="124"/>
      <c r="G51" s="108"/>
      <c r="H51" s="108"/>
      <c r="I51" s="108"/>
      <c r="J51" s="108"/>
      <c r="K51" s="108"/>
      <c r="L51" s="108"/>
      <c r="M51" s="108"/>
      <c r="N51" s="108"/>
      <c r="O51" s="108"/>
      <c r="P51" s="108"/>
      <c r="Q51" s="108"/>
      <c r="R51" s="108"/>
      <c r="S51" s="108"/>
      <c r="T51" s="108"/>
      <c r="U51" s="108"/>
    </row>
    <row r="52">
      <c r="A52" s="121" t="s">
        <v>829</v>
      </c>
      <c r="B52" s="122"/>
      <c r="C52" s="122" t="s">
        <v>716</v>
      </c>
      <c r="D52" s="122"/>
      <c r="E52" s="125" t="s">
        <v>830</v>
      </c>
      <c r="F52" s="124"/>
      <c r="G52" s="108"/>
      <c r="H52" s="108"/>
      <c r="I52" s="108"/>
      <c r="J52" s="108"/>
      <c r="K52" s="108"/>
      <c r="L52" s="108"/>
      <c r="M52" s="108"/>
      <c r="N52" s="108"/>
      <c r="O52" s="108"/>
      <c r="P52" s="108"/>
      <c r="Q52" s="108"/>
      <c r="R52" s="108"/>
      <c r="S52" s="108"/>
      <c r="T52" s="108"/>
      <c r="U52" s="108"/>
    </row>
    <row r="53">
      <c r="A53" s="121" t="s">
        <v>831</v>
      </c>
      <c r="B53" s="122" t="s">
        <v>716</v>
      </c>
      <c r="C53" s="122"/>
      <c r="D53" s="122"/>
      <c r="E53" s="125"/>
      <c r="F53" s="124"/>
      <c r="G53" s="108"/>
      <c r="H53" s="108"/>
      <c r="I53" s="108"/>
      <c r="J53" s="108"/>
      <c r="K53" s="108"/>
      <c r="L53" s="108"/>
      <c r="M53" s="108"/>
      <c r="N53" s="108"/>
      <c r="O53" s="108"/>
      <c r="P53" s="108"/>
      <c r="Q53" s="108"/>
      <c r="R53" s="108"/>
      <c r="S53" s="108"/>
      <c r="T53" s="108"/>
      <c r="U53" s="108"/>
    </row>
    <row r="54">
      <c r="A54" s="121" t="s">
        <v>832</v>
      </c>
      <c r="B54" s="122" t="s">
        <v>716</v>
      </c>
      <c r="C54" s="122"/>
      <c r="D54" s="122"/>
      <c r="E54" s="125"/>
      <c r="F54" s="124"/>
      <c r="G54" s="108"/>
      <c r="H54" s="108"/>
      <c r="I54" s="108"/>
      <c r="J54" s="108"/>
      <c r="K54" s="108"/>
      <c r="L54" s="108"/>
      <c r="M54" s="108"/>
      <c r="N54" s="108"/>
      <c r="O54" s="108"/>
      <c r="P54" s="108"/>
      <c r="Q54" s="108"/>
      <c r="R54" s="108"/>
      <c r="S54" s="108"/>
      <c r="T54" s="108"/>
      <c r="U54" s="108"/>
    </row>
    <row r="55">
      <c r="A55" s="121" t="s">
        <v>833</v>
      </c>
      <c r="B55" s="122" t="s">
        <v>716</v>
      </c>
      <c r="C55" s="122"/>
      <c r="D55" s="122"/>
      <c r="E55" s="125"/>
      <c r="F55" s="124"/>
      <c r="G55" s="108"/>
      <c r="H55" s="108"/>
      <c r="I55" s="108"/>
      <c r="J55" s="108"/>
      <c r="K55" s="108"/>
      <c r="L55" s="108"/>
      <c r="M55" s="108"/>
      <c r="N55" s="108"/>
      <c r="O55" s="108"/>
      <c r="P55" s="108"/>
      <c r="Q55" s="108"/>
      <c r="R55" s="108"/>
      <c r="S55" s="108"/>
      <c r="T55" s="108"/>
      <c r="U55" s="108"/>
    </row>
    <row r="56">
      <c r="A56" s="121" t="s">
        <v>834</v>
      </c>
      <c r="B56" s="122" t="s">
        <v>716</v>
      </c>
      <c r="C56" s="122"/>
      <c r="D56" s="122"/>
      <c r="E56" s="125"/>
      <c r="F56" s="124"/>
      <c r="G56" s="108"/>
      <c r="H56" s="108"/>
      <c r="I56" s="108"/>
      <c r="J56" s="108"/>
      <c r="K56" s="108"/>
      <c r="L56" s="108"/>
      <c r="M56" s="108"/>
      <c r="N56" s="108"/>
      <c r="O56" s="108"/>
      <c r="P56" s="108"/>
      <c r="Q56" s="108"/>
      <c r="R56" s="108"/>
      <c r="S56" s="108"/>
      <c r="T56" s="108"/>
      <c r="U56" s="108"/>
    </row>
    <row r="57">
      <c r="A57" s="128" t="s">
        <v>835</v>
      </c>
      <c r="B57" s="118"/>
      <c r="C57" s="118"/>
      <c r="D57" s="118"/>
      <c r="E57" s="131"/>
      <c r="F57" s="130"/>
      <c r="G57" s="108"/>
      <c r="H57" s="108"/>
      <c r="I57" s="108"/>
      <c r="J57" s="108"/>
      <c r="K57" s="108"/>
      <c r="L57" s="108"/>
      <c r="M57" s="108"/>
      <c r="N57" s="108"/>
      <c r="O57" s="108"/>
      <c r="P57" s="108"/>
      <c r="Q57" s="108"/>
      <c r="R57" s="108"/>
      <c r="S57" s="108"/>
      <c r="T57" s="108"/>
      <c r="U57" s="108"/>
    </row>
    <row r="58">
      <c r="A58" s="121" t="s">
        <v>836</v>
      </c>
      <c r="B58" s="122" t="s">
        <v>716</v>
      </c>
      <c r="C58" s="122"/>
      <c r="D58" s="122"/>
      <c r="E58" s="125"/>
      <c r="F58" s="124" t="s">
        <v>784</v>
      </c>
      <c r="G58" s="108"/>
      <c r="H58" s="108"/>
      <c r="I58" s="108"/>
      <c r="J58" s="108"/>
      <c r="K58" s="108"/>
      <c r="L58" s="108"/>
      <c r="M58" s="108"/>
      <c r="N58" s="108"/>
      <c r="O58" s="108"/>
      <c r="P58" s="108"/>
      <c r="Q58" s="108"/>
      <c r="R58" s="108"/>
      <c r="S58" s="108"/>
      <c r="T58" s="108"/>
      <c r="U58" s="108"/>
    </row>
    <row r="59">
      <c r="A59" s="121" t="s">
        <v>837</v>
      </c>
      <c r="B59" s="122" t="s">
        <v>716</v>
      </c>
      <c r="C59" s="122"/>
      <c r="D59" s="122"/>
      <c r="E59" s="125"/>
      <c r="F59" s="124" t="s">
        <v>784</v>
      </c>
      <c r="G59" s="108"/>
      <c r="H59" s="108"/>
      <c r="I59" s="108"/>
      <c r="J59" s="108"/>
      <c r="K59" s="108"/>
      <c r="L59" s="108"/>
      <c r="M59" s="108"/>
      <c r="N59" s="108"/>
      <c r="O59" s="108"/>
      <c r="P59" s="108"/>
      <c r="Q59" s="108"/>
      <c r="R59" s="108"/>
      <c r="S59" s="108"/>
      <c r="T59" s="108"/>
      <c r="U59" s="108"/>
    </row>
    <row r="60">
      <c r="A60" s="121" t="s">
        <v>838</v>
      </c>
      <c r="B60" s="122"/>
      <c r="C60" s="122" t="s">
        <v>716</v>
      </c>
      <c r="D60" s="122"/>
      <c r="E60" s="125" t="s">
        <v>839</v>
      </c>
      <c r="F60" s="124"/>
      <c r="G60" s="108"/>
      <c r="H60" s="108"/>
      <c r="I60" s="108"/>
      <c r="J60" s="108"/>
      <c r="K60" s="108"/>
      <c r="L60" s="108"/>
      <c r="M60" s="108"/>
      <c r="N60" s="108"/>
      <c r="O60" s="108"/>
      <c r="P60" s="108"/>
      <c r="Q60" s="108"/>
      <c r="R60" s="108"/>
      <c r="S60" s="108"/>
      <c r="T60" s="108"/>
      <c r="U60" s="108"/>
    </row>
    <row r="61">
      <c r="A61" s="121" t="s">
        <v>840</v>
      </c>
      <c r="B61" s="122" t="s">
        <v>716</v>
      </c>
      <c r="C61" s="122"/>
      <c r="D61" s="122"/>
      <c r="E61" s="125"/>
      <c r="F61" s="124" t="s">
        <v>784</v>
      </c>
      <c r="G61" s="108"/>
      <c r="H61" s="108"/>
      <c r="I61" s="108"/>
      <c r="J61" s="108"/>
      <c r="K61" s="108"/>
      <c r="L61" s="108"/>
      <c r="M61" s="108"/>
      <c r="N61" s="108"/>
      <c r="O61" s="108"/>
      <c r="P61" s="108"/>
      <c r="Q61" s="108"/>
      <c r="R61" s="108"/>
      <c r="S61" s="108"/>
      <c r="T61" s="108"/>
      <c r="U61" s="108"/>
    </row>
    <row r="62">
      <c r="A62" s="121" t="s">
        <v>841</v>
      </c>
      <c r="B62" s="122" t="s">
        <v>716</v>
      </c>
      <c r="C62" s="122"/>
      <c r="D62" s="122"/>
      <c r="E62" s="125"/>
      <c r="F62" s="124"/>
      <c r="G62" s="108"/>
      <c r="H62" s="108"/>
      <c r="I62" s="108"/>
      <c r="J62" s="108"/>
      <c r="K62" s="108"/>
      <c r="L62" s="108"/>
      <c r="M62" s="108"/>
      <c r="N62" s="108"/>
      <c r="O62" s="108"/>
      <c r="P62" s="108"/>
      <c r="Q62" s="108"/>
      <c r="R62" s="108"/>
      <c r="S62" s="108"/>
      <c r="T62" s="108"/>
      <c r="U62" s="108"/>
    </row>
    <row r="63">
      <c r="A63" s="121" t="s">
        <v>842</v>
      </c>
      <c r="B63" s="122" t="s">
        <v>716</v>
      </c>
      <c r="C63" s="122"/>
      <c r="D63" s="122"/>
      <c r="E63" s="125"/>
      <c r="F63" s="132"/>
      <c r="G63" s="108"/>
      <c r="H63" s="108"/>
      <c r="I63" s="108"/>
      <c r="J63" s="108"/>
      <c r="K63" s="108"/>
      <c r="L63" s="108"/>
      <c r="M63" s="108"/>
      <c r="N63" s="108"/>
      <c r="O63" s="108"/>
      <c r="P63" s="108"/>
      <c r="Q63" s="108"/>
      <c r="R63" s="108"/>
      <c r="S63" s="108"/>
      <c r="T63" s="108"/>
      <c r="U63" s="108"/>
    </row>
    <row r="64">
      <c r="A64" s="128" t="s">
        <v>843</v>
      </c>
      <c r="B64" s="133"/>
      <c r="C64" s="133"/>
      <c r="D64" s="133"/>
      <c r="E64" s="131"/>
      <c r="F64" s="134"/>
      <c r="G64" s="108"/>
      <c r="H64" s="108"/>
      <c r="I64" s="108"/>
      <c r="J64" s="108"/>
      <c r="K64" s="108"/>
      <c r="L64" s="108"/>
      <c r="M64" s="108"/>
      <c r="N64" s="108"/>
      <c r="O64" s="108"/>
      <c r="P64" s="108"/>
      <c r="Q64" s="108"/>
      <c r="R64" s="108"/>
      <c r="S64" s="108"/>
      <c r="T64" s="108"/>
      <c r="U64" s="108"/>
    </row>
    <row r="65">
      <c r="A65" s="121" t="s">
        <v>844</v>
      </c>
      <c r="B65" s="122" t="s">
        <v>716</v>
      </c>
      <c r="C65" s="122"/>
      <c r="D65" s="122"/>
      <c r="E65" s="125"/>
      <c r="F65" s="124" t="s">
        <v>784</v>
      </c>
      <c r="G65" s="108"/>
      <c r="H65" s="108"/>
      <c r="I65" s="108"/>
      <c r="J65" s="108"/>
      <c r="K65" s="108"/>
      <c r="L65" s="108"/>
      <c r="M65" s="108"/>
      <c r="N65" s="108"/>
      <c r="O65" s="108"/>
      <c r="P65" s="108"/>
      <c r="Q65" s="108"/>
      <c r="R65" s="108"/>
      <c r="S65" s="108"/>
      <c r="T65" s="108"/>
      <c r="U65" s="108"/>
    </row>
    <row r="66">
      <c r="A66" s="121" t="s">
        <v>845</v>
      </c>
      <c r="B66" s="122" t="s">
        <v>716</v>
      </c>
      <c r="C66" s="122"/>
      <c r="D66" s="122"/>
      <c r="E66" s="125"/>
      <c r="F66" s="124"/>
      <c r="G66" s="108"/>
      <c r="H66" s="108"/>
      <c r="I66" s="108"/>
      <c r="J66" s="108"/>
      <c r="K66" s="108"/>
      <c r="L66" s="108"/>
      <c r="M66" s="108"/>
      <c r="N66" s="108"/>
      <c r="O66" s="108"/>
      <c r="P66" s="108"/>
      <c r="Q66" s="108"/>
      <c r="R66" s="108"/>
      <c r="S66" s="108"/>
      <c r="T66" s="108"/>
      <c r="U66" s="108"/>
    </row>
    <row r="67">
      <c r="A67" s="121" t="s">
        <v>846</v>
      </c>
      <c r="B67" s="122"/>
      <c r="C67" s="122" t="s">
        <v>716</v>
      </c>
      <c r="D67" s="122"/>
      <c r="E67" s="125" t="s">
        <v>847</v>
      </c>
      <c r="F67" s="124"/>
      <c r="G67" s="108"/>
      <c r="H67" s="108"/>
      <c r="I67" s="108"/>
      <c r="J67" s="108"/>
      <c r="K67" s="108"/>
      <c r="L67" s="108"/>
      <c r="M67" s="108"/>
      <c r="N67" s="108"/>
      <c r="O67" s="108"/>
      <c r="P67" s="108"/>
      <c r="Q67" s="108"/>
      <c r="R67" s="108"/>
      <c r="S67" s="108"/>
      <c r="T67" s="108"/>
      <c r="U67" s="108"/>
      <c r="V67" s="108"/>
      <c r="W67" s="108"/>
      <c r="X67" s="108"/>
      <c r="Y67" s="108"/>
      <c r="Z67" s="108"/>
    </row>
    <row r="68">
      <c r="A68" s="121" t="s">
        <v>848</v>
      </c>
      <c r="B68" s="122" t="s">
        <v>716</v>
      </c>
      <c r="C68" s="122"/>
      <c r="D68" s="122"/>
      <c r="E68" s="125"/>
      <c r="F68" s="124"/>
      <c r="G68" s="108"/>
      <c r="H68" s="108"/>
      <c r="I68" s="108"/>
      <c r="J68" s="108"/>
      <c r="K68" s="108"/>
      <c r="L68" s="108"/>
      <c r="M68" s="108"/>
      <c r="N68" s="108"/>
      <c r="O68" s="108"/>
      <c r="P68" s="108"/>
      <c r="Q68" s="108"/>
      <c r="R68" s="108"/>
      <c r="S68" s="108"/>
      <c r="T68" s="108"/>
      <c r="U68" s="108"/>
      <c r="V68" s="108"/>
      <c r="W68" s="108"/>
      <c r="X68" s="108"/>
      <c r="Y68" s="108"/>
      <c r="Z68" s="108"/>
    </row>
    <row r="69">
      <c r="A69" s="121" t="s">
        <v>849</v>
      </c>
      <c r="B69" s="122" t="s">
        <v>716</v>
      </c>
      <c r="C69" s="122"/>
      <c r="D69" s="122"/>
      <c r="E69" s="125"/>
      <c r="F69" s="124"/>
      <c r="G69" s="108"/>
      <c r="H69" s="108"/>
      <c r="I69" s="108"/>
      <c r="J69" s="108"/>
      <c r="K69" s="108"/>
      <c r="L69" s="108"/>
      <c r="M69" s="108"/>
      <c r="N69" s="108"/>
      <c r="O69" s="108"/>
      <c r="P69" s="108"/>
      <c r="Q69" s="108"/>
      <c r="R69" s="108"/>
      <c r="S69" s="108"/>
      <c r="T69" s="108"/>
      <c r="U69" s="108"/>
      <c r="V69" s="108"/>
      <c r="W69" s="108"/>
      <c r="X69" s="108"/>
      <c r="Y69" s="108"/>
      <c r="Z69" s="108"/>
    </row>
    <row r="70">
      <c r="A70" s="121" t="s">
        <v>850</v>
      </c>
      <c r="B70" s="122" t="s">
        <v>716</v>
      </c>
      <c r="C70" s="122"/>
      <c r="D70" s="122"/>
      <c r="E70" s="125"/>
      <c r="F70" s="124"/>
      <c r="G70" s="108"/>
      <c r="H70" s="108"/>
      <c r="I70" s="108"/>
      <c r="J70" s="108"/>
      <c r="K70" s="108"/>
      <c r="L70" s="108"/>
      <c r="M70" s="108"/>
      <c r="N70" s="108"/>
      <c r="O70" s="108"/>
      <c r="P70" s="108"/>
      <c r="Q70" s="108"/>
      <c r="R70" s="108"/>
      <c r="S70" s="108"/>
      <c r="T70" s="108"/>
      <c r="U70" s="108"/>
      <c r="V70" s="108"/>
      <c r="W70" s="108"/>
      <c r="X70" s="108"/>
      <c r="Y70" s="108"/>
      <c r="Z70" s="108"/>
    </row>
    <row r="71">
      <c r="A71" s="121" t="s">
        <v>851</v>
      </c>
      <c r="B71" s="122" t="s">
        <v>716</v>
      </c>
      <c r="C71" s="122"/>
      <c r="D71" s="122"/>
      <c r="E71" s="125"/>
      <c r="F71" s="124" t="s">
        <v>784</v>
      </c>
      <c r="G71" s="108"/>
      <c r="H71" s="108"/>
      <c r="I71" s="108"/>
      <c r="J71" s="108"/>
      <c r="K71" s="108"/>
      <c r="L71" s="108"/>
      <c r="M71" s="108"/>
      <c r="N71" s="108"/>
      <c r="O71" s="108"/>
      <c r="P71" s="108"/>
      <c r="Q71" s="108"/>
      <c r="R71" s="108"/>
      <c r="S71" s="108"/>
      <c r="T71" s="108"/>
      <c r="U71" s="108"/>
      <c r="V71" s="108"/>
      <c r="W71" s="108"/>
      <c r="X71" s="108"/>
      <c r="Y71" s="108"/>
      <c r="Z71" s="108"/>
    </row>
    <row r="72">
      <c r="A72" s="121" t="s">
        <v>852</v>
      </c>
      <c r="B72" s="122" t="s">
        <v>716</v>
      </c>
      <c r="C72" s="122"/>
      <c r="D72" s="122"/>
      <c r="E72" s="125"/>
      <c r="F72" s="124"/>
      <c r="G72" s="108"/>
      <c r="H72" s="108"/>
      <c r="I72" s="108"/>
      <c r="J72" s="108"/>
      <c r="K72" s="108"/>
      <c r="L72" s="108"/>
      <c r="M72" s="108"/>
      <c r="N72" s="108"/>
      <c r="O72" s="108"/>
      <c r="P72" s="108"/>
      <c r="Q72" s="108"/>
      <c r="R72" s="108"/>
      <c r="S72" s="108"/>
      <c r="T72" s="108"/>
      <c r="U72" s="108"/>
      <c r="V72" s="108"/>
      <c r="W72" s="108"/>
      <c r="X72" s="108"/>
      <c r="Y72" s="108"/>
      <c r="Z72" s="108"/>
    </row>
    <row r="73">
      <c r="A73" s="121" t="s">
        <v>853</v>
      </c>
      <c r="B73" s="122" t="s">
        <v>716</v>
      </c>
      <c r="C73" s="122"/>
      <c r="D73" s="122"/>
      <c r="E73" s="125"/>
      <c r="F73" s="124" t="s">
        <v>784</v>
      </c>
      <c r="G73" s="108"/>
      <c r="H73" s="108"/>
      <c r="I73" s="108"/>
      <c r="J73" s="108"/>
      <c r="K73" s="108"/>
      <c r="L73" s="108"/>
      <c r="M73" s="108"/>
      <c r="N73" s="108"/>
      <c r="O73" s="108"/>
      <c r="P73" s="108"/>
      <c r="Q73" s="108"/>
      <c r="R73" s="108"/>
      <c r="S73" s="108"/>
      <c r="T73" s="108"/>
      <c r="U73" s="108"/>
      <c r="V73" s="108"/>
      <c r="W73" s="108"/>
      <c r="X73" s="108"/>
      <c r="Y73" s="108"/>
      <c r="Z73" s="108"/>
    </row>
    <row r="74">
      <c r="A74" s="121" t="s">
        <v>854</v>
      </c>
      <c r="B74" s="122" t="s">
        <v>716</v>
      </c>
      <c r="C74" s="122"/>
      <c r="D74" s="122"/>
      <c r="E74" s="125"/>
      <c r="F74" s="124"/>
      <c r="G74" s="108"/>
      <c r="H74" s="108"/>
      <c r="I74" s="108"/>
      <c r="J74" s="108"/>
      <c r="K74" s="108"/>
      <c r="L74" s="108"/>
      <c r="M74" s="108"/>
      <c r="N74" s="108"/>
      <c r="O74" s="108"/>
      <c r="P74" s="108"/>
      <c r="Q74" s="108"/>
      <c r="R74" s="108"/>
      <c r="S74" s="108"/>
      <c r="T74" s="108"/>
      <c r="U74" s="108"/>
      <c r="V74" s="108"/>
      <c r="W74" s="108"/>
      <c r="X74" s="108"/>
      <c r="Y74" s="108"/>
      <c r="Z74" s="108"/>
    </row>
    <row r="75">
      <c r="A75" s="121" t="s">
        <v>855</v>
      </c>
      <c r="B75" s="122" t="s">
        <v>716</v>
      </c>
      <c r="C75" s="122"/>
      <c r="D75" s="122"/>
      <c r="E75" s="125"/>
      <c r="F75" s="124" t="s">
        <v>784</v>
      </c>
      <c r="G75" s="108"/>
      <c r="H75" s="108"/>
      <c r="I75" s="108"/>
      <c r="J75" s="108"/>
      <c r="K75" s="108"/>
      <c r="L75" s="108"/>
      <c r="M75" s="108"/>
      <c r="N75" s="108"/>
      <c r="O75" s="108"/>
      <c r="P75" s="108"/>
      <c r="Q75" s="108"/>
      <c r="R75" s="108"/>
      <c r="S75" s="108"/>
      <c r="T75" s="108"/>
      <c r="U75" s="108"/>
      <c r="V75" s="108"/>
      <c r="W75" s="108"/>
      <c r="X75" s="108"/>
      <c r="Y75" s="108"/>
      <c r="Z75" s="108"/>
    </row>
    <row r="76">
      <c r="A76" s="121" t="s">
        <v>856</v>
      </c>
      <c r="B76" s="122"/>
      <c r="C76" s="122" t="s">
        <v>716</v>
      </c>
      <c r="D76" s="122"/>
      <c r="E76" s="125"/>
      <c r="F76" s="124"/>
      <c r="G76" s="108"/>
      <c r="H76" s="108"/>
      <c r="I76" s="108"/>
      <c r="J76" s="108"/>
      <c r="K76" s="108"/>
      <c r="L76" s="108"/>
      <c r="M76" s="108"/>
      <c r="N76" s="108"/>
      <c r="O76" s="108"/>
      <c r="P76" s="108"/>
      <c r="Q76" s="108"/>
      <c r="R76" s="108"/>
      <c r="S76" s="108"/>
      <c r="T76" s="108"/>
      <c r="U76" s="108"/>
      <c r="V76" s="108"/>
      <c r="W76" s="108"/>
      <c r="X76" s="108"/>
      <c r="Y76" s="108"/>
      <c r="Z76" s="108"/>
    </row>
    <row r="77">
      <c r="A77" s="121" t="s">
        <v>857</v>
      </c>
      <c r="B77" s="122" t="s">
        <v>716</v>
      </c>
      <c r="C77" s="122"/>
      <c r="D77" s="122"/>
      <c r="E77" s="125"/>
      <c r="F77" s="124"/>
      <c r="G77" s="108"/>
      <c r="H77" s="108"/>
      <c r="I77" s="108"/>
      <c r="J77" s="108"/>
      <c r="K77" s="108"/>
      <c r="L77" s="108"/>
      <c r="M77" s="108"/>
      <c r="N77" s="108"/>
      <c r="O77" s="108"/>
      <c r="P77" s="108"/>
      <c r="Q77" s="108"/>
      <c r="R77" s="108"/>
      <c r="S77" s="108"/>
      <c r="T77" s="108"/>
      <c r="U77" s="108"/>
      <c r="V77" s="108"/>
      <c r="W77" s="108"/>
      <c r="X77" s="108"/>
      <c r="Y77" s="108"/>
      <c r="Z77" s="108"/>
    </row>
    <row r="78">
      <c r="A78" s="135" t="s">
        <v>858</v>
      </c>
      <c r="B78" s="122" t="s">
        <v>716</v>
      </c>
      <c r="C78" s="122"/>
      <c r="D78" s="122"/>
      <c r="E78" s="125"/>
      <c r="F78" s="124" t="s">
        <v>784</v>
      </c>
      <c r="G78" s="108"/>
      <c r="H78" s="108"/>
      <c r="I78" s="108"/>
      <c r="J78" s="108"/>
      <c r="K78" s="108"/>
      <c r="L78" s="108"/>
      <c r="M78" s="108"/>
      <c r="N78" s="108"/>
      <c r="O78" s="108"/>
      <c r="P78" s="108"/>
      <c r="Q78" s="108"/>
      <c r="R78" s="108"/>
      <c r="S78" s="108"/>
      <c r="T78" s="108"/>
      <c r="U78" s="108"/>
      <c r="V78" s="108"/>
      <c r="W78" s="108"/>
      <c r="X78" s="108"/>
      <c r="Y78" s="108"/>
      <c r="Z78" s="108"/>
    </row>
    <row r="79">
      <c r="A79" s="135" t="s">
        <v>859</v>
      </c>
      <c r="B79" s="122" t="s">
        <v>716</v>
      </c>
      <c r="C79" s="122"/>
      <c r="D79" s="122"/>
      <c r="E79" s="125"/>
      <c r="F79" s="124" t="s">
        <v>784</v>
      </c>
      <c r="G79" s="108"/>
      <c r="H79" s="108"/>
      <c r="I79" s="108"/>
      <c r="J79" s="108"/>
      <c r="K79" s="108"/>
      <c r="L79" s="108"/>
      <c r="M79" s="108"/>
      <c r="N79" s="108"/>
      <c r="O79" s="108"/>
      <c r="P79" s="108"/>
      <c r="Q79" s="108"/>
      <c r="R79" s="108"/>
      <c r="S79" s="108"/>
      <c r="T79" s="108"/>
      <c r="U79" s="108"/>
      <c r="V79" s="108"/>
      <c r="W79" s="108"/>
      <c r="X79" s="108"/>
      <c r="Y79" s="108"/>
      <c r="Z79" s="108"/>
    </row>
    <row r="80">
      <c r="A80" s="121" t="s">
        <v>860</v>
      </c>
      <c r="B80" s="122"/>
      <c r="C80" s="122" t="s">
        <v>716</v>
      </c>
      <c r="D80" s="122"/>
      <c r="E80" s="125"/>
      <c r="F80" s="124"/>
      <c r="G80" s="108"/>
      <c r="H80" s="108"/>
      <c r="I80" s="108"/>
      <c r="J80" s="108"/>
      <c r="K80" s="108"/>
      <c r="L80" s="108"/>
      <c r="M80" s="108"/>
      <c r="N80" s="108"/>
      <c r="O80" s="108"/>
      <c r="P80" s="108"/>
      <c r="Q80" s="108"/>
      <c r="R80" s="108"/>
      <c r="S80" s="108"/>
      <c r="T80" s="108"/>
      <c r="U80" s="108"/>
      <c r="V80" s="108"/>
      <c r="W80" s="108"/>
      <c r="X80" s="108"/>
      <c r="Y80" s="108"/>
      <c r="Z80" s="108"/>
    </row>
    <row r="81">
      <c r="A81" s="121" t="s">
        <v>861</v>
      </c>
      <c r="B81" s="122" t="s">
        <v>716</v>
      </c>
      <c r="C81" s="122"/>
      <c r="D81" s="122"/>
      <c r="E81" s="125"/>
      <c r="F81" s="124"/>
      <c r="G81" s="108"/>
      <c r="H81" s="108"/>
      <c r="I81" s="108"/>
      <c r="J81" s="108"/>
      <c r="K81" s="108"/>
      <c r="L81" s="108"/>
      <c r="M81" s="108"/>
      <c r="N81" s="108"/>
      <c r="O81" s="108"/>
      <c r="P81" s="108"/>
      <c r="Q81" s="108"/>
      <c r="R81" s="108"/>
      <c r="S81" s="108"/>
      <c r="T81" s="108"/>
      <c r="U81" s="108"/>
      <c r="V81" s="108"/>
      <c r="W81" s="108"/>
      <c r="X81" s="108"/>
      <c r="Y81" s="108"/>
      <c r="Z81" s="108"/>
    </row>
    <row r="82">
      <c r="A82" s="121" t="s">
        <v>862</v>
      </c>
      <c r="B82" s="122"/>
      <c r="C82" s="122" t="s">
        <v>716</v>
      </c>
      <c r="D82" s="122"/>
      <c r="E82" s="125" t="s">
        <v>863</v>
      </c>
      <c r="F82" s="124"/>
      <c r="G82" s="108"/>
      <c r="H82" s="108"/>
      <c r="I82" s="108"/>
      <c r="J82" s="108"/>
      <c r="K82" s="108"/>
      <c r="L82" s="108"/>
      <c r="M82" s="108"/>
      <c r="N82" s="108"/>
      <c r="O82" s="108"/>
      <c r="P82" s="108"/>
      <c r="Q82" s="108"/>
      <c r="R82" s="108"/>
      <c r="S82" s="108"/>
      <c r="T82" s="108"/>
      <c r="U82" s="108"/>
      <c r="V82" s="108"/>
      <c r="W82" s="108"/>
      <c r="X82" s="108"/>
      <c r="Y82" s="108"/>
      <c r="Z82" s="108"/>
    </row>
    <row r="83">
      <c r="A83" s="121" t="s">
        <v>864</v>
      </c>
      <c r="B83" s="122"/>
      <c r="C83" s="122" t="s">
        <v>716</v>
      </c>
      <c r="D83" s="122"/>
      <c r="F83" s="124" t="s">
        <v>784</v>
      </c>
      <c r="G83" s="108"/>
      <c r="H83" s="108"/>
      <c r="I83" s="108"/>
      <c r="J83" s="108"/>
      <c r="K83" s="108"/>
      <c r="L83" s="108"/>
      <c r="M83" s="108"/>
      <c r="N83" s="108"/>
      <c r="O83" s="108"/>
      <c r="P83" s="108"/>
      <c r="Q83" s="108"/>
      <c r="R83" s="108"/>
      <c r="S83" s="108"/>
      <c r="T83" s="108"/>
      <c r="U83" s="108"/>
      <c r="V83" s="108"/>
      <c r="W83" s="108"/>
      <c r="X83" s="108"/>
      <c r="Y83" s="108"/>
      <c r="Z83" s="108"/>
    </row>
    <row r="84">
      <c r="A84" s="121" t="s">
        <v>865</v>
      </c>
      <c r="B84" s="122"/>
      <c r="C84" s="122" t="s">
        <v>716</v>
      </c>
      <c r="D84" s="122"/>
      <c r="E84" s="125" t="s">
        <v>863</v>
      </c>
      <c r="F84" s="124"/>
      <c r="G84" s="108"/>
      <c r="H84" s="108"/>
      <c r="I84" s="108"/>
      <c r="J84" s="108"/>
      <c r="K84" s="108"/>
      <c r="L84" s="108"/>
      <c r="M84" s="108"/>
      <c r="N84" s="108"/>
      <c r="O84" s="108"/>
      <c r="P84" s="108"/>
      <c r="Q84" s="108"/>
      <c r="R84" s="108"/>
      <c r="S84" s="108"/>
      <c r="T84" s="108"/>
      <c r="U84" s="108"/>
      <c r="V84" s="108"/>
      <c r="W84" s="108"/>
      <c r="X84" s="108"/>
      <c r="Y84" s="108"/>
      <c r="Z84" s="108"/>
    </row>
    <row r="85">
      <c r="A85" s="121" t="s">
        <v>864</v>
      </c>
      <c r="B85" s="122"/>
      <c r="C85" s="122" t="s">
        <v>716</v>
      </c>
      <c r="D85" s="122"/>
      <c r="F85" s="124" t="s">
        <v>784</v>
      </c>
      <c r="G85" s="108"/>
      <c r="H85" s="108"/>
      <c r="I85" s="108"/>
      <c r="J85" s="108"/>
      <c r="K85" s="108"/>
      <c r="L85" s="108"/>
      <c r="M85" s="108"/>
      <c r="N85" s="108"/>
      <c r="O85" s="108"/>
      <c r="P85" s="108"/>
      <c r="Q85" s="108"/>
      <c r="R85" s="108"/>
      <c r="S85" s="108"/>
      <c r="T85" s="108"/>
      <c r="U85" s="108"/>
      <c r="V85" s="108"/>
      <c r="W85" s="108"/>
      <c r="X85" s="108"/>
      <c r="Y85" s="108"/>
      <c r="Z85" s="108"/>
    </row>
    <row r="86">
      <c r="A86" s="121" t="s">
        <v>866</v>
      </c>
      <c r="B86" s="122" t="s">
        <v>716</v>
      </c>
      <c r="C86" s="122"/>
      <c r="D86" s="122"/>
      <c r="E86" s="125"/>
      <c r="F86" s="124"/>
      <c r="G86" s="108"/>
      <c r="H86" s="108"/>
      <c r="I86" s="108"/>
      <c r="J86" s="108"/>
      <c r="K86" s="108"/>
      <c r="L86" s="108"/>
      <c r="M86" s="108"/>
      <c r="N86" s="108"/>
      <c r="O86" s="108"/>
      <c r="P86" s="108"/>
      <c r="Q86" s="108"/>
      <c r="R86" s="108"/>
      <c r="S86" s="108"/>
      <c r="T86" s="108"/>
      <c r="U86" s="108"/>
      <c r="V86" s="108"/>
      <c r="W86" s="108"/>
      <c r="X86" s="108"/>
      <c r="Y86" s="108"/>
      <c r="Z86" s="108"/>
    </row>
    <row r="87">
      <c r="A87" s="121" t="s">
        <v>864</v>
      </c>
      <c r="B87" s="122" t="s">
        <v>716</v>
      </c>
      <c r="C87" s="122"/>
      <c r="D87" s="122"/>
      <c r="E87" s="125"/>
      <c r="F87" s="124" t="s">
        <v>784</v>
      </c>
      <c r="G87" s="108"/>
      <c r="H87" s="108"/>
      <c r="I87" s="108"/>
      <c r="J87" s="108"/>
      <c r="K87" s="108"/>
      <c r="L87" s="108"/>
      <c r="M87" s="108"/>
      <c r="N87" s="108"/>
      <c r="O87" s="108"/>
      <c r="P87" s="108"/>
      <c r="Q87" s="108"/>
      <c r="R87" s="108"/>
      <c r="S87" s="108"/>
      <c r="T87" s="108"/>
      <c r="U87" s="108"/>
      <c r="V87" s="108"/>
      <c r="W87" s="108"/>
      <c r="X87" s="108"/>
      <c r="Y87" s="108"/>
      <c r="Z87" s="108"/>
    </row>
    <row r="88">
      <c r="A88" s="121"/>
      <c r="B88" s="122"/>
      <c r="C88" s="122"/>
      <c r="D88" s="122"/>
      <c r="E88" s="125"/>
      <c r="F88" s="124"/>
      <c r="G88" s="108"/>
      <c r="H88" s="108"/>
      <c r="I88" s="108"/>
      <c r="J88" s="108"/>
      <c r="K88" s="108"/>
      <c r="L88" s="108"/>
      <c r="M88" s="108"/>
      <c r="N88" s="108"/>
      <c r="O88" s="108"/>
      <c r="P88" s="108"/>
      <c r="Q88" s="108"/>
      <c r="R88" s="108"/>
      <c r="S88" s="108"/>
      <c r="T88" s="108"/>
      <c r="U88" s="108"/>
      <c r="V88" s="108"/>
      <c r="W88" s="108"/>
      <c r="X88" s="108"/>
      <c r="Y88" s="108"/>
      <c r="Z88" s="108"/>
    </row>
    <row r="89">
      <c r="A89" s="136" t="s">
        <v>867</v>
      </c>
      <c r="B89" s="137"/>
      <c r="C89" s="137"/>
      <c r="D89" s="137"/>
      <c r="E89" s="138"/>
      <c r="F89" s="139"/>
      <c r="G89" s="108"/>
      <c r="H89" s="108"/>
      <c r="I89" s="108"/>
      <c r="J89" s="108"/>
      <c r="K89" s="108"/>
      <c r="L89" s="108"/>
      <c r="M89" s="108"/>
      <c r="N89" s="108"/>
      <c r="O89" s="108"/>
      <c r="P89" s="108"/>
      <c r="Q89" s="108"/>
      <c r="R89" s="108"/>
      <c r="S89" s="108"/>
      <c r="T89" s="108"/>
      <c r="U89" s="108"/>
      <c r="V89" s="108"/>
      <c r="W89" s="108"/>
      <c r="X89" s="108"/>
      <c r="Y89" s="108"/>
      <c r="Z89" s="108"/>
    </row>
    <row r="90">
      <c r="A90" s="108"/>
      <c r="B90" s="122">
        <v>55</v>
      </c>
      <c r="C90" s="122">
        <v>11</v>
      </c>
      <c r="D90" s="122">
        <v>1</v>
      </c>
      <c r="E90" s="123"/>
      <c r="F90" s="122"/>
      <c r="G90" s="108"/>
      <c r="H90" s="108"/>
      <c r="I90" s="108"/>
      <c r="J90" s="108"/>
      <c r="K90" s="108"/>
      <c r="L90" s="108"/>
      <c r="M90" s="108"/>
      <c r="N90" s="108"/>
      <c r="O90" s="108"/>
      <c r="P90" s="108"/>
      <c r="Q90" s="108"/>
      <c r="R90" s="108"/>
      <c r="S90" s="108"/>
      <c r="T90" s="108"/>
      <c r="U90" s="108"/>
      <c r="V90" s="108"/>
      <c r="W90" s="108"/>
      <c r="X90" s="108"/>
      <c r="Y90" s="108"/>
      <c r="Z90" s="108"/>
    </row>
    <row r="91">
      <c r="A91" s="140" t="s">
        <v>765</v>
      </c>
      <c r="B91" s="95"/>
      <c r="C91" s="95"/>
      <c r="D91" s="95"/>
      <c r="E91" s="95"/>
      <c r="F91" s="96"/>
      <c r="G91" s="108"/>
      <c r="H91" s="108"/>
      <c r="I91" s="108"/>
      <c r="J91" s="108"/>
      <c r="K91" s="108"/>
      <c r="L91" s="108"/>
      <c r="M91" s="108"/>
      <c r="N91" s="108"/>
      <c r="O91" s="108"/>
      <c r="P91" s="108"/>
      <c r="Q91" s="108"/>
      <c r="R91" s="108"/>
      <c r="S91" s="108"/>
      <c r="T91" s="108"/>
      <c r="U91" s="108"/>
      <c r="V91" s="108"/>
      <c r="W91" s="108"/>
      <c r="X91" s="108"/>
      <c r="Y91" s="108"/>
      <c r="Z91" s="108"/>
    </row>
    <row r="92">
      <c r="A92" s="141" t="s">
        <v>868</v>
      </c>
      <c r="B92" s="97"/>
      <c r="C92" s="97"/>
      <c r="D92" s="97"/>
      <c r="E92" s="97"/>
      <c r="F92" s="98"/>
      <c r="G92" s="108"/>
      <c r="H92" s="108"/>
      <c r="I92" s="108"/>
      <c r="J92" s="108"/>
      <c r="K92" s="108"/>
      <c r="L92" s="108"/>
      <c r="M92" s="108"/>
      <c r="N92" s="108"/>
      <c r="O92" s="108"/>
      <c r="P92" s="108"/>
      <c r="Q92" s="108"/>
      <c r="R92" s="108"/>
      <c r="S92" s="108"/>
      <c r="T92" s="108"/>
      <c r="U92" s="108"/>
      <c r="V92" s="108"/>
      <c r="W92" s="108"/>
      <c r="X92" s="108"/>
      <c r="Y92" s="108"/>
      <c r="Z92" s="108"/>
    </row>
    <row r="93">
      <c r="A93" s="99"/>
      <c r="F93" s="100"/>
      <c r="G93" s="108"/>
      <c r="H93" s="108"/>
      <c r="I93" s="108"/>
      <c r="J93" s="108"/>
      <c r="K93" s="108"/>
      <c r="L93" s="108"/>
      <c r="M93" s="108"/>
      <c r="N93" s="108"/>
      <c r="O93" s="108"/>
      <c r="P93" s="108"/>
      <c r="Q93" s="108"/>
      <c r="R93" s="108"/>
      <c r="S93" s="108"/>
      <c r="T93" s="108"/>
      <c r="U93" s="108"/>
      <c r="V93" s="108"/>
      <c r="W93" s="108"/>
      <c r="X93" s="108"/>
      <c r="Y93" s="108"/>
      <c r="Z93" s="108"/>
    </row>
    <row r="94" ht="15" customHeight="1">
      <c r="A94" s="101"/>
      <c r="B94" s="102"/>
      <c r="C94" s="102"/>
      <c r="D94" s="102"/>
      <c r="E94" s="102"/>
      <c r="F94" s="103"/>
      <c r="G94" s="108"/>
      <c r="H94" s="108"/>
      <c r="I94" s="108"/>
      <c r="J94" s="108"/>
      <c r="K94" s="108"/>
      <c r="L94" s="108"/>
      <c r="M94" s="108"/>
      <c r="N94" s="108"/>
      <c r="O94" s="108"/>
      <c r="P94" s="108"/>
      <c r="Q94" s="108"/>
      <c r="R94" s="108"/>
      <c r="S94" s="108"/>
      <c r="T94" s="108"/>
      <c r="U94" s="108"/>
      <c r="V94" s="108"/>
      <c r="W94" s="108"/>
      <c r="X94" s="108"/>
      <c r="Y94" s="108"/>
      <c r="Z94" s="108"/>
    </row>
    <row r="95">
      <c r="A95" s="140" t="s">
        <v>767</v>
      </c>
      <c r="B95" s="95"/>
      <c r="C95" s="95"/>
      <c r="D95" s="95"/>
      <c r="E95" s="95"/>
      <c r="F95" s="96"/>
      <c r="G95" s="108"/>
      <c r="H95" s="108"/>
      <c r="I95" s="108"/>
      <c r="J95" s="108"/>
      <c r="K95" s="108"/>
      <c r="L95" s="108"/>
      <c r="M95" s="108"/>
      <c r="N95" s="108"/>
      <c r="O95" s="108"/>
      <c r="P95" s="108"/>
      <c r="Q95" s="108"/>
      <c r="R95" s="108"/>
      <c r="S95" s="108"/>
      <c r="T95" s="108"/>
      <c r="U95" s="108"/>
      <c r="V95" s="108"/>
      <c r="W95" s="108"/>
      <c r="X95" s="108"/>
      <c r="Y95" s="108"/>
      <c r="Z95" s="108"/>
    </row>
    <row r="96">
      <c r="A96" s="142" t="s">
        <v>869</v>
      </c>
      <c r="B96" s="97"/>
      <c r="C96" s="97"/>
      <c r="D96" s="97"/>
      <c r="E96" s="97"/>
      <c r="F96" s="98"/>
      <c r="G96" s="108"/>
      <c r="H96" s="108"/>
      <c r="I96" s="108"/>
      <c r="J96" s="108"/>
      <c r="K96" s="108"/>
      <c r="L96" s="108"/>
      <c r="M96" s="108"/>
      <c r="N96" s="108"/>
      <c r="O96" s="108"/>
      <c r="P96" s="108"/>
      <c r="Q96" s="108"/>
      <c r="R96" s="108"/>
      <c r="S96" s="108"/>
      <c r="T96" s="108"/>
      <c r="U96" s="108"/>
      <c r="V96" s="108"/>
      <c r="W96" s="108"/>
      <c r="X96" s="108"/>
      <c r="Y96" s="108"/>
      <c r="Z96" s="108"/>
    </row>
    <row r="97">
      <c r="A97" s="143" t="s">
        <v>769</v>
      </c>
      <c r="B97" s="95"/>
      <c r="C97" s="95"/>
      <c r="D97" s="95"/>
      <c r="E97" s="95"/>
      <c r="F97" s="96"/>
      <c r="G97" s="108"/>
      <c r="H97" s="108"/>
      <c r="I97" s="108"/>
      <c r="J97" s="108"/>
      <c r="K97" s="108"/>
      <c r="L97" s="108"/>
      <c r="M97" s="108"/>
      <c r="N97" s="108"/>
      <c r="O97" s="108"/>
      <c r="P97" s="108"/>
      <c r="Q97" s="108"/>
      <c r="R97" s="108"/>
      <c r="S97" s="108"/>
      <c r="T97" s="108"/>
      <c r="U97" s="108"/>
      <c r="V97" s="108"/>
      <c r="W97" s="108"/>
      <c r="X97" s="108"/>
      <c r="Y97" s="108"/>
      <c r="Z97" s="108"/>
    </row>
    <row r="98">
      <c r="A98" s="141" t="s">
        <v>770</v>
      </c>
      <c r="B98" s="95"/>
      <c r="C98" s="95"/>
      <c r="D98" s="95"/>
      <c r="E98" s="95"/>
      <c r="F98" s="96"/>
      <c r="G98" s="108"/>
      <c r="H98" s="108"/>
      <c r="I98" s="108"/>
      <c r="J98" s="108"/>
      <c r="K98" s="108"/>
      <c r="L98" s="108"/>
      <c r="M98" s="108"/>
      <c r="N98" s="108"/>
      <c r="O98" s="108"/>
      <c r="P98" s="108"/>
      <c r="Q98" s="108"/>
      <c r="R98" s="108"/>
      <c r="S98" s="108"/>
      <c r="T98" s="108"/>
      <c r="U98" s="108"/>
      <c r="V98" s="108"/>
      <c r="W98" s="108"/>
      <c r="X98" s="108"/>
      <c r="Y98" s="108"/>
      <c r="Z98" s="108"/>
    </row>
    <row r="99">
      <c r="A99" s="141" t="s">
        <v>771</v>
      </c>
      <c r="B99" s="95"/>
      <c r="C99" s="95"/>
      <c r="D99" s="95"/>
      <c r="E99" s="95"/>
      <c r="F99" s="96"/>
      <c r="G99" s="108"/>
      <c r="H99" s="108"/>
      <c r="I99" s="108"/>
      <c r="J99" s="108"/>
      <c r="K99" s="108"/>
      <c r="L99" s="108"/>
      <c r="M99" s="108"/>
      <c r="N99" s="108"/>
      <c r="O99" s="108"/>
      <c r="P99" s="108"/>
      <c r="Q99" s="108"/>
      <c r="R99" s="108"/>
      <c r="S99" s="108"/>
      <c r="T99" s="108"/>
      <c r="U99" s="108"/>
      <c r="V99" s="108"/>
      <c r="W99" s="108"/>
      <c r="X99" s="108"/>
      <c r="Y99" s="108"/>
      <c r="Z99" s="108"/>
    </row>
    <row r="100">
      <c r="A100" s="144" t="s">
        <v>870</v>
      </c>
      <c r="B100" s="97"/>
      <c r="C100" s="97"/>
      <c r="D100" s="97"/>
      <c r="E100" s="97"/>
      <c r="F100" s="98"/>
      <c r="G100" s="108"/>
      <c r="H100" s="108"/>
      <c r="I100" s="108"/>
      <c r="J100" s="108"/>
      <c r="K100" s="108"/>
      <c r="L100" s="108"/>
      <c r="M100" s="108"/>
      <c r="N100" s="108"/>
      <c r="O100" s="108"/>
      <c r="P100" s="108"/>
      <c r="Q100" s="108"/>
      <c r="R100" s="108"/>
      <c r="S100" s="108"/>
      <c r="T100" s="108"/>
      <c r="U100" s="108"/>
      <c r="V100" s="108"/>
      <c r="W100" s="108"/>
      <c r="X100" s="108"/>
      <c r="Y100" s="108"/>
      <c r="Z100" s="108"/>
    </row>
    <row r="101">
      <c r="A101" s="99"/>
      <c r="F101" s="100"/>
      <c r="G101" s="108"/>
      <c r="H101" s="108"/>
      <c r="I101" s="108"/>
      <c r="J101" s="108"/>
      <c r="K101" s="108"/>
      <c r="L101" s="108"/>
      <c r="M101" s="108"/>
      <c r="N101" s="108"/>
      <c r="O101" s="108"/>
      <c r="P101" s="108"/>
      <c r="Q101" s="108"/>
      <c r="R101" s="108"/>
      <c r="S101" s="108"/>
      <c r="T101" s="108"/>
      <c r="U101" s="108"/>
      <c r="V101" s="108"/>
      <c r="W101" s="108"/>
      <c r="X101" s="108"/>
      <c r="Y101" s="108"/>
      <c r="Z101" s="108"/>
    </row>
    <row r="102">
      <c r="A102" s="101"/>
      <c r="B102" s="102"/>
      <c r="C102" s="102"/>
      <c r="D102" s="102"/>
      <c r="E102" s="102"/>
      <c r="F102" s="103"/>
      <c r="G102" s="108"/>
      <c r="H102" s="108"/>
      <c r="I102" s="108"/>
      <c r="J102" s="108"/>
      <c r="K102" s="108"/>
      <c r="L102" s="108"/>
      <c r="M102" s="108"/>
      <c r="N102" s="108"/>
      <c r="O102" s="108"/>
      <c r="P102" s="108"/>
      <c r="Q102" s="108"/>
      <c r="R102" s="108"/>
      <c r="S102" s="108"/>
      <c r="T102" s="108"/>
      <c r="U102" s="108"/>
      <c r="V102" s="108"/>
      <c r="W102" s="108"/>
      <c r="X102" s="108"/>
      <c r="Y102" s="108"/>
      <c r="Z102" s="108"/>
    </row>
    <row r="103">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sheetData>
  <mergeCells count="20">
    <mergeCell ref="B4:F4"/>
    <mergeCell ref="A99:F99"/>
    <mergeCell ref="B7:F7"/>
    <mergeCell ref="B3:F3"/>
    <mergeCell ref="E82:E83"/>
    <mergeCell ref="E19:E20"/>
    <mergeCell ref="A95:F95"/>
    <mergeCell ref="E84:E85"/>
    <mergeCell ref="B2:F2"/>
    <mergeCell ref="A97:F97"/>
    <mergeCell ref="B8:F8"/>
    <mergeCell ref="A96:F96"/>
    <mergeCell ref="A91:F91"/>
    <mergeCell ref="A100:F102"/>
    <mergeCell ref="B9:F9"/>
    <mergeCell ref="A92:F94"/>
    <mergeCell ref="B6:F6"/>
    <mergeCell ref="A98:F98"/>
    <mergeCell ref="A1:F1"/>
    <mergeCell ref="B5:F5"/>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bestFit="1" customWidth="1" min="1" max="1" style="1" width="5.57421875"/>
    <col bestFit="1" customWidth="1" min="2" max="2" style="1" width="59.28125"/>
    <col bestFit="1" customWidth="1" min="3" max="3" style="1" width="15.00390625"/>
    <col customWidth="1" min="4" max="4" style="1" width="9.140625"/>
    <col customWidth="1" min="5" max="5" style="1" width="71.57421875"/>
    <col customWidth="1" min="6" max="16384" style="1" width="9.140625"/>
  </cols>
  <sheetData>
    <row r="1" ht="15.75" customHeight="1">
      <c r="A1" s="145" t="s">
        <v>871</v>
      </c>
      <c r="B1" s="17"/>
      <c r="C1" s="17"/>
      <c r="D1" s="17"/>
      <c r="E1" s="9"/>
    </row>
    <row r="2" ht="15.75" customHeight="1">
      <c r="A2" s="39" t="s">
        <v>872</v>
      </c>
      <c r="B2" s="9"/>
      <c r="C2" s="39" t="s">
        <v>44</v>
      </c>
      <c r="D2" s="17"/>
      <c r="E2" s="9"/>
    </row>
    <row r="3" ht="15.75" customHeight="1">
      <c r="A3" s="39" t="s">
        <v>873</v>
      </c>
      <c r="B3" s="9"/>
      <c r="C3" s="39" t="s">
        <v>874</v>
      </c>
      <c r="D3" s="17"/>
      <c r="E3" s="9"/>
    </row>
    <row r="4" ht="129" customHeight="1">
      <c r="A4" s="39" t="s">
        <v>875</v>
      </c>
      <c r="B4" s="9"/>
      <c r="C4" s="24" t="s">
        <v>876</v>
      </c>
      <c r="D4" s="17"/>
      <c r="E4" s="9"/>
    </row>
    <row r="5" ht="232.5" customHeight="1">
      <c r="A5" s="39" t="s">
        <v>877</v>
      </c>
      <c r="B5" s="9"/>
      <c r="C5" s="24" t="s">
        <v>878</v>
      </c>
      <c r="D5" s="17"/>
      <c r="E5" s="9"/>
    </row>
    <row r="6" ht="90.75" customHeight="1">
      <c r="A6" s="39" t="s">
        <v>879</v>
      </c>
      <c r="B6" s="9"/>
      <c r="C6" s="24" t="s">
        <v>880</v>
      </c>
      <c r="D6" s="17"/>
      <c r="E6" s="9"/>
    </row>
    <row r="7" ht="15.75" customHeight="1">
      <c r="A7" s="146" t="s">
        <v>60</v>
      </c>
      <c r="B7" s="147" t="s">
        <v>881</v>
      </c>
      <c r="C7" s="146" t="s">
        <v>882</v>
      </c>
      <c r="D7" s="147" t="s">
        <v>66</v>
      </c>
      <c r="E7" s="9"/>
    </row>
    <row r="8" ht="31.5" customHeight="1">
      <c r="A8" s="46">
        <v>1</v>
      </c>
      <c r="B8" s="148" t="s">
        <v>883</v>
      </c>
      <c r="C8" s="24" t="s">
        <v>54</v>
      </c>
      <c r="D8" s="149"/>
      <c r="E8" s="9"/>
    </row>
    <row r="9" ht="15.75" customHeight="1">
      <c r="A9" s="46">
        <v>2</v>
      </c>
      <c r="B9" s="148" t="s">
        <v>884</v>
      </c>
      <c r="C9" s="24" t="s">
        <v>54</v>
      </c>
      <c r="D9" s="24"/>
      <c r="E9" s="9"/>
    </row>
    <row r="10" ht="31.5" customHeight="1">
      <c r="A10" s="46">
        <v>3</v>
      </c>
      <c r="B10" s="24" t="s">
        <v>885</v>
      </c>
      <c r="C10" s="24" t="s">
        <v>54</v>
      </c>
      <c r="D10" s="24"/>
      <c r="E10" s="9"/>
    </row>
    <row r="11" ht="15.75" customHeight="1">
      <c r="A11" s="46">
        <v>4</v>
      </c>
      <c r="B11" s="148" t="s">
        <v>886</v>
      </c>
      <c r="C11" s="24" t="s">
        <v>54</v>
      </c>
      <c r="D11" s="149"/>
      <c r="E11" s="9"/>
    </row>
    <row r="12" ht="47.25" customHeight="1">
      <c r="A12" s="46">
        <f t="shared" ref="A12:A43" si="0">A11+1</f>
        <v>5</v>
      </c>
      <c r="B12" s="148" t="s">
        <v>887</v>
      </c>
      <c r="C12" s="24" t="s">
        <v>54</v>
      </c>
      <c r="D12" s="24"/>
      <c r="E12" s="9"/>
    </row>
    <row r="13" ht="15.75" customHeight="1">
      <c r="A13" s="46">
        <f t="shared" si="0"/>
        <v>6</v>
      </c>
      <c r="B13" s="148" t="s">
        <v>888</v>
      </c>
      <c r="C13" s="24" t="s">
        <v>55</v>
      </c>
      <c r="D13" s="24" t="s">
        <v>889</v>
      </c>
      <c r="E13" s="9"/>
    </row>
    <row r="14" ht="15.75" customHeight="1">
      <c r="A14" s="46">
        <f t="shared" si="0"/>
        <v>7</v>
      </c>
      <c r="B14" s="148" t="s">
        <v>890</v>
      </c>
      <c r="C14" s="24" t="s">
        <v>54</v>
      </c>
      <c r="D14" s="24"/>
      <c r="E14" s="9"/>
    </row>
    <row r="15" ht="31.5" customHeight="1">
      <c r="A15" s="46">
        <f t="shared" si="0"/>
        <v>8</v>
      </c>
      <c r="B15" s="148" t="s">
        <v>891</v>
      </c>
      <c r="C15" s="24" t="s">
        <v>57</v>
      </c>
      <c r="D15" s="24" t="s">
        <v>892</v>
      </c>
      <c r="E15" s="9"/>
    </row>
    <row r="16" ht="31.5" customHeight="1">
      <c r="A16" s="46">
        <f t="shared" si="0"/>
        <v>9</v>
      </c>
      <c r="B16" s="148" t="s">
        <v>893</v>
      </c>
      <c r="C16" s="24" t="s">
        <v>57</v>
      </c>
      <c r="D16" s="150" t="s">
        <v>894</v>
      </c>
      <c r="E16" s="15"/>
    </row>
    <row r="17" ht="15.75" customHeight="1">
      <c r="A17" s="46">
        <f t="shared" si="0"/>
        <v>10</v>
      </c>
      <c r="B17" s="148" t="s">
        <v>895</v>
      </c>
      <c r="C17" s="24" t="s">
        <v>54</v>
      </c>
      <c r="D17" s="149"/>
      <c r="E17" s="9"/>
    </row>
    <row r="18" ht="15.75" customHeight="1">
      <c r="A18" s="46">
        <f t="shared" si="0"/>
        <v>11</v>
      </c>
      <c r="B18" s="148" t="s">
        <v>896</v>
      </c>
      <c r="C18" s="24" t="s">
        <v>54</v>
      </c>
      <c r="D18" s="149"/>
      <c r="E18" s="9"/>
    </row>
    <row r="19" ht="15.75" customHeight="1">
      <c r="A19" s="46">
        <f t="shared" si="0"/>
        <v>12</v>
      </c>
      <c r="B19" s="148" t="s">
        <v>897</v>
      </c>
      <c r="C19" s="24" t="s">
        <v>54</v>
      </c>
      <c r="D19" s="24"/>
      <c r="E19" s="9"/>
    </row>
    <row r="20" ht="15.75" customHeight="1">
      <c r="A20" s="46">
        <f t="shared" si="0"/>
        <v>13</v>
      </c>
      <c r="B20" s="148" t="s">
        <v>898</v>
      </c>
      <c r="C20" s="24" t="s">
        <v>54</v>
      </c>
      <c r="D20" s="149"/>
      <c r="E20" s="9"/>
    </row>
    <row r="21" ht="15.75" customHeight="1">
      <c r="A21" s="46">
        <f t="shared" si="0"/>
        <v>14</v>
      </c>
      <c r="B21" s="148" t="s">
        <v>899</v>
      </c>
      <c r="C21" s="24" t="s">
        <v>54</v>
      </c>
      <c r="D21" s="149"/>
      <c r="E21" s="9"/>
    </row>
    <row r="22" ht="47.25" customHeight="1">
      <c r="A22" s="46">
        <f t="shared" si="0"/>
        <v>15</v>
      </c>
      <c r="B22" s="24" t="s">
        <v>900</v>
      </c>
      <c r="C22" s="24" t="s">
        <v>54</v>
      </c>
      <c r="D22" s="24"/>
      <c r="E22" s="9"/>
    </row>
    <row r="23" ht="31.5" customHeight="1">
      <c r="A23" s="46">
        <f t="shared" si="0"/>
        <v>16</v>
      </c>
      <c r="B23" s="148" t="s">
        <v>901</v>
      </c>
      <c r="C23" s="24" t="s">
        <v>55</v>
      </c>
      <c r="D23" s="24" t="s">
        <v>902</v>
      </c>
      <c r="E23" s="9"/>
    </row>
    <row r="24" ht="31.5" customHeight="1">
      <c r="A24" s="46">
        <f t="shared" si="0"/>
        <v>17</v>
      </c>
      <c r="B24" s="148" t="s">
        <v>903</v>
      </c>
      <c r="C24" s="24" t="s">
        <v>54</v>
      </c>
      <c r="D24" s="24"/>
      <c r="E24" s="9"/>
    </row>
    <row r="25" ht="15.75" customHeight="1">
      <c r="A25" s="46">
        <f t="shared" si="0"/>
        <v>18</v>
      </c>
      <c r="B25" s="24" t="s">
        <v>904</v>
      </c>
      <c r="C25" s="24" t="s">
        <v>54</v>
      </c>
      <c r="D25" s="149"/>
      <c r="E25" s="9"/>
    </row>
    <row r="26" ht="31.5" customHeight="1">
      <c r="A26" s="46">
        <f t="shared" si="0"/>
        <v>19</v>
      </c>
      <c r="B26" s="24" t="s">
        <v>905</v>
      </c>
      <c r="C26" s="24" t="s">
        <v>54</v>
      </c>
      <c r="D26" s="24"/>
      <c r="E26" s="9"/>
    </row>
    <row r="27" ht="31.5" customHeight="1">
      <c r="A27" s="46">
        <f t="shared" si="0"/>
        <v>20</v>
      </c>
      <c r="B27" s="24" t="s">
        <v>906</v>
      </c>
      <c r="C27" s="24" t="s">
        <v>54</v>
      </c>
      <c r="D27" s="24"/>
      <c r="E27" s="9"/>
    </row>
    <row r="28" ht="15.75" customHeight="1">
      <c r="A28" s="46">
        <f t="shared" si="0"/>
        <v>21</v>
      </c>
      <c r="B28" s="148" t="s">
        <v>907</v>
      </c>
      <c r="C28" s="24" t="s">
        <v>57</v>
      </c>
      <c r="D28" s="24" t="s">
        <v>908</v>
      </c>
      <c r="E28" s="9"/>
    </row>
    <row r="29" ht="31.5" customHeight="1">
      <c r="A29" s="46">
        <f t="shared" si="0"/>
        <v>22</v>
      </c>
      <c r="B29" s="24" t="s">
        <v>909</v>
      </c>
      <c r="C29" s="24" t="s">
        <v>57</v>
      </c>
      <c r="D29" s="24" t="s">
        <v>910</v>
      </c>
      <c r="E29" s="9"/>
    </row>
    <row r="30" ht="31.5" customHeight="1">
      <c r="A30" s="46">
        <f t="shared" si="0"/>
        <v>23</v>
      </c>
      <c r="B30" s="24" t="s">
        <v>911</v>
      </c>
      <c r="C30" s="24" t="s">
        <v>54</v>
      </c>
      <c r="D30" s="149"/>
      <c r="E30" s="9"/>
    </row>
    <row r="31" ht="31.5" customHeight="1">
      <c r="A31" s="46">
        <f t="shared" si="0"/>
        <v>24</v>
      </c>
      <c r="B31" s="24" t="s">
        <v>912</v>
      </c>
      <c r="C31" s="24" t="s">
        <v>54</v>
      </c>
      <c r="D31" s="149"/>
      <c r="E31" s="9"/>
    </row>
    <row r="32" ht="31.5" customHeight="1">
      <c r="A32" s="46">
        <f t="shared" si="0"/>
        <v>25</v>
      </c>
      <c r="B32" s="24" t="s">
        <v>913</v>
      </c>
      <c r="C32" s="24" t="s">
        <v>54</v>
      </c>
      <c r="D32" s="24"/>
      <c r="E32" s="9"/>
    </row>
    <row r="33" ht="31.5" customHeight="1">
      <c r="A33" s="46">
        <f t="shared" si="0"/>
        <v>26</v>
      </c>
      <c r="B33" s="148" t="s">
        <v>914</v>
      </c>
      <c r="C33" s="149"/>
      <c r="D33" s="149"/>
      <c r="E33" s="9"/>
    </row>
    <row r="34" ht="15.75" customHeight="1">
      <c r="A34" s="149"/>
      <c r="B34" s="24" t="s">
        <v>915</v>
      </c>
      <c r="C34" s="24" t="s">
        <v>54</v>
      </c>
      <c r="D34" s="42"/>
      <c r="E34" s="15"/>
    </row>
    <row r="35" ht="15.75" customHeight="1">
      <c r="A35" s="149"/>
      <c r="B35" s="24" t="s">
        <v>916</v>
      </c>
      <c r="C35" s="24" t="s">
        <v>54</v>
      </c>
      <c r="D35" s="42"/>
      <c r="E35" s="15"/>
    </row>
    <row r="36" ht="15.75" customHeight="1">
      <c r="A36" s="46">
        <v>27</v>
      </c>
      <c r="B36" s="151" t="s">
        <v>917</v>
      </c>
      <c r="C36" s="24" t="s">
        <v>54</v>
      </c>
      <c r="D36" s="24"/>
      <c r="E36" s="9"/>
    </row>
    <row r="37" ht="31.5" customHeight="1">
      <c r="A37" s="46">
        <f t="shared" si="0"/>
        <v>28</v>
      </c>
      <c r="B37" s="24" t="s">
        <v>918</v>
      </c>
      <c r="C37" s="24" t="s">
        <v>55</v>
      </c>
      <c r="D37" s="24" t="s">
        <v>919</v>
      </c>
      <c r="E37" s="9"/>
    </row>
    <row r="38" ht="15.75" customHeight="1">
      <c r="A38" s="46">
        <f t="shared" si="0"/>
        <v>29</v>
      </c>
      <c r="B38" s="24" t="s">
        <v>920</v>
      </c>
      <c r="C38" s="149"/>
      <c r="D38" s="149"/>
      <c r="E38" s="9"/>
    </row>
    <row r="39" ht="15.75" customHeight="1">
      <c r="A39" s="149"/>
      <c r="B39" s="151" t="s">
        <v>921</v>
      </c>
      <c r="C39" s="24" t="s">
        <v>54</v>
      </c>
      <c r="D39" s="149"/>
      <c r="E39" s="9"/>
    </row>
    <row r="40" ht="15.75" customHeight="1">
      <c r="A40" s="149"/>
      <c r="B40" s="24" t="s">
        <v>922</v>
      </c>
      <c r="C40" s="24" t="s">
        <v>54</v>
      </c>
      <c r="D40" s="149"/>
      <c r="E40" s="9"/>
    </row>
    <row r="41" ht="31.5" customHeight="1">
      <c r="A41" s="46">
        <v>30</v>
      </c>
      <c r="B41" s="148" t="s">
        <v>923</v>
      </c>
      <c r="C41" s="24" t="s">
        <v>54</v>
      </c>
      <c r="D41" s="24"/>
      <c r="E41" s="9"/>
    </row>
    <row r="42" ht="15.75" customHeight="1">
      <c r="A42" s="46">
        <f t="shared" si="0"/>
        <v>31</v>
      </c>
      <c r="B42" s="24" t="s">
        <v>924</v>
      </c>
      <c r="C42" s="24" t="s">
        <v>54</v>
      </c>
      <c r="D42" s="24"/>
      <c r="E42" s="9"/>
    </row>
    <row r="43" ht="31.5" customHeight="1">
      <c r="A43" s="46">
        <f t="shared" si="0"/>
        <v>32</v>
      </c>
      <c r="B43" s="24" t="s">
        <v>925</v>
      </c>
      <c r="C43" s="149"/>
      <c r="D43" s="149"/>
      <c r="E43" s="9"/>
    </row>
    <row r="44" ht="15.75" customHeight="1">
      <c r="A44" s="149"/>
      <c r="B44" s="24" t="s">
        <v>926</v>
      </c>
      <c r="C44" s="24" t="s">
        <v>54</v>
      </c>
      <c r="D44" s="149"/>
      <c r="E44" s="9"/>
    </row>
    <row r="45" ht="15.75" customHeight="1">
      <c r="A45" s="149"/>
      <c r="B45" s="24" t="s">
        <v>927</v>
      </c>
      <c r="C45" s="24" t="s">
        <v>57</v>
      </c>
      <c r="D45" s="24" t="s">
        <v>928</v>
      </c>
      <c r="E45" s="9"/>
    </row>
    <row r="46" ht="31.5" customHeight="1">
      <c r="A46" s="149"/>
      <c r="B46" s="24" t="s">
        <v>929</v>
      </c>
      <c r="C46" s="24" t="s">
        <v>54</v>
      </c>
      <c r="D46" s="149"/>
      <c r="E46" s="9"/>
    </row>
    <row r="47" ht="31.5" customHeight="1">
      <c r="A47" s="149"/>
      <c r="B47" s="24" t="s">
        <v>930</v>
      </c>
      <c r="C47" s="24" t="s">
        <v>54</v>
      </c>
      <c r="D47" s="24"/>
      <c r="E47" s="9"/>
    </row>
    <row r="48" ht="15.75" customHeight="1">
      <c r="A48" s="149"/>
      <c r="B48" s="24" t="s">
        <v>931</v>
      </c>
      <c r="C48" s="24" t="s">
        <v>54</v>
      </c>
      <c r="D48" s="24"/>
      <c r="E48" s="9"/>
    </row>
    <row r="49" ht="31.5" customHeight="1">
      <c r="A49" s="149"/>
      <c r="B49" s="24" t="s">
        <v>932</v>
      </c>
      <c r="C49" s="24" t="s">
        <v>54</v>
      </c>
      <c r="D49" s="24"/>
      <c r="E49" s="9"/>
    </row>
    <row r="50" ht="31.5" customHeight="1">
      <c r="A50" s="46">
        <v>33</v>
      </c>
      <c r="B50" s="24" t="s">
        <v>933</v>
      </c>
      <c r="C50" s="149"/>
      <c r="D50" s="149"/>
      <c r="E50" s="9"/>
    </row>
    <row r="51" ht="15.75" customHeight="1">
      <c r="A51" s="149"/>
      <c r="B51" s="24" t="s">
        <v>934</v>
      </c>
      <c r="C51" s="24" t="s">
        <v>54</v>
      </c>
      <c r="D51" s="24"/>
      <c r="E51" s="9"/>
    </row>
    <row r="52" ht="31.5" customHeight="1">
      <c r="A52" s="149"/>
      <c r="B52" s="24" t="s">
        <v>935</v>
      </c>
      <c r="C52" s="24" t="s">
        <v>54</v>
      </c>
      <c r="D52" s="149"/>
      <c r="E52" s="9"/>
    </row>
    <row r="53" ht="31.5" customHeight="1">
      <c r="A53" s="149"/>
      <c r="B53" s="24" t="s">
        <v>936</v>
      </c>
      <c r="C53" s="24" t="s">
        <v>54</v>
      </c>
      <c r="D53" s="149"/>
      <c r="E53" s="9"/>
    </row>
    <row r="54" ht="15.75" customHeight="1">
      <c r="A54" s="149"/>
      <c r="B54" s="24" t="s">
        <v>937</v>
      </c>
      <c r="C54" s="24" t="s">
        <v>57</v>
      </c>
      <c r="D54" s="24" t="s">
        <v>938</v>
      </c>
      <c r="E54" s="9"/>
    </row>
    <row r="55" ht="15.75" customHeight="1">
      <c r="A55" s="46">
        <v>34</v>
      </c>
      <c r="B55" s="24" t="s">
        <v>939</v>
      </c>
      <c r="C55" s="149"/>
      <c r="D55" s="149"/>
      <c r="E55" s="9"/>
    </row>
    <row r="56" ht="31.5" customHeight="1">
      <c r="A56" s="149"/>
      <c r="B56" s="24" t="s">
        <v>940</v>
      </c>
      <c r="C56" s="24" t="s">
        <v>54</v>
      </c>
      <c r="D56" s="149"/>
      <c r="E56" s="9"/>
    </row>
    <row r="57" ht="31.5" customHeight="1">
      <c r="A57" s="149"/>
      <c r="B57" s="24" t="s">
        <v>941</v>
      </c>
      <c r="C57" s="24" t="s">
        <v>54</v>
      </c>
      <c r="D57" s="149"/>
      <c r="E57" s="9"/>
    </row>
    <row r="58" ht="31.5" customHeight="1">
      <c r="A58" s="149"/>
      <c r="B58" s="24" t="s">
        <v>942</v>
      </c>
      <c r="C58" s="24" t="s">
        <v>54</v>
      </c>
      <c r="D58" s="24"/>
      <c r="E58" s="9"/>
    </row>
    <row r="59" ht="31.5" customHeight="1">
      <c r="A59" s="149"/>
      <c r="B59" s="24" t="s">
        <v>943</v>
      </c>
      <c r="C59" s="24" t="s">
        <v>54</v>
      </c>
      <c r="D59" s="149"/>
      <c r="E59" s="9"/>
    </row>
    <row r="60" ht="15.75" customHeight="1">
      <c r="A60" s="149"/>
      <c r="B60" s="24" t="s">
        <v>944</v>
      </c>
      <c r="C60" s="24" t="s">
        <v>57</v>
      </c>
      <c r="D60" s="24" t="s">
        <v>938</v>
      </c>
      <c r="E60" s="9"/>
    </row>
    <row r="61" ht="31.5" customHeight="1">
      <c r="A61" s="46">
        <v>35</v>
      </c>
      <c r="B61" s="24" t="s">
        <v>945</v>
      </c>
      <c r="C61" s="149"/>
      <c r="D61" s="149"/>
      <c r="E61" s="9"/>
    </row>
    <row r="62" ht="31.5" customHeight="1">
      <c r="A62" s="149"/>
      <c r="B62" s="24" t="s">
        <v>946</v>
      </c>
      <c r="C62" s="24" t="s">
        <v>54</v>
      </c>
      <c r="D62" s="24"/>
      <c r="E62" s="9"/>
    </row>
    <row r="63" ht="31.5" customHeight="1">
      <c r="A63" s="149"/>
      <c r="B63" s="24" t="s">
        <v>947</v>
      </c>
      <c r="C63" s="24" t="s">
        <v>54</v>
      </c>
      <c r="D63" s="42"/>
      <c r="E63" s="15"/>
    </row>
    <row r="64" ht="15.75" customHeight="1">
      <c r="A64" s="46">
        <v>36</v>
      </c>
      <c r="B64" s="24" t="s">
        <v>948</v>
      </c>
      <c r="C64" s="149"/>
      <c r="D64" s="149"/>
      <c r="E64" s="9"/>
    </row>
    <row r="65">
      <c r="A65" s="149"/>
      <c r="B65" s="24" t="s">
        <v>949</v>
      </c>
      <c r="C65" s="24" t="s">
        <v>54</v>
      </c>
      <c r="D65" s="24"/>
      <c r="E65" s="9"/>
    </row>
    <row r="66">
      <c r="A66" s="149"/>
      <c r="B66" s="24" t="s">
        <v>950</v>
      </c>
      <c r="C66" s="24" t="s">
        <v>54</v>
      </c>
      <c r="D66" s="24"/>
      <c r="E66" s="9"/>
    </row>
    <row r="67">
      <c r="A67" s="149"/>
      <c r="B67" s="24" t="s">
        <v>951</v>
      </c>
      <c r="C67" s="24" t="s">
        <v>54</v>
      </c>
      <c r="D67" s="149"/>
      <c r="E67" s="9"/>
    </row>
    <row r="68">
      <c r="A68" s="149"/>
      <c r="B68" s="24" t="s">
        <v>952</v>
      </c>
      <c r="C68" s="24" t="s">
        <v>55</v>
      </c>
      <c r="D68" s="24" t="s">
        <v>953</v>
      </c>
      <c r="E68" s="9"/>
    </row>
  </sheetData>
  <mergeCells count="73">
    <mergeCell ref="D20:E20"/>
    <mergeCell ref="D60:E60"/>
    <mergeCell ref="D10:E10"/>
    <mergeCell ref="D19:E19"/>
    <mergeCell ref="D34:E34"/>
    <mergeCell ref="D63:E63"/>
    <mergeCell ref="A1:E1"/>
    <mergeCell ref="D46:E46"/>
    <mergeCell ref="D22:E22"/>
    <mergeCell ref="D40:E40"/>
    <mergeCell ref="D36:E36"/>
    <mergeCell ref="D31:E31"/>
    <mergeCell ref="D65:E65"/>
    <mergeCell ref="D45:E45"/>
    <mergeCell ref="A6:B6"/>
    <mergeCell ref="D21:E21"/>
    <mergeCell ref="C2:E2"/>
    <mergeCell ref="D52:E52"/>
    <mergeCell ref="D11:E11"/>
    <mergeCell ref="D13:E13"/>
    <mergeCell ref="D27:E27"/>
    <mergeCell ref="D49:E49"/>
    <mergeCell ref="D57:E57"/>
    <mergeCell ref="D32:E32"/>
    <mergeCell ref="D61:E61"/>
    <mergeCell ref="D41:E41"/>
    <mergeCell ref="D48:E48"/>
    <mergeCell ref="D17:E17"/>
    <mergeCell ref="A3:B3"/>
    <mergeCell ref="D66:E66"/>
    <mergeCell ref="D53:E53"/>
    <mergeCell ref="D47:E47"/>
    <mergeCell ref="D16:E16"/>
    <mergeCell ref="A2:B2"/>
    <mergeCell ref="D7:E7"/>
    <mergeCell ref="D43:E43"/>
    <mergeCell ref="A5:B5"/>
    <mergeCell ref="D37:E37"/>
    <mergeCell ref="D28:E28"/>
    <mergeCell ref="C3:E3"/>
    <mergeCell ref="D62:E62"/>
    <mergeCell ref="D18:E18"/>
    <mergeCell ref="D56:E56"/>
    <mergeCell ref="D58:E58"/>
    <mergeCell ref="D9:E9"/>
    <mergeCell ref="D12:E12"/>
    <mergeCell ref="C6:E6"/>
    <mergeCell ref="A4:B4"/>
    <mergeCell ref="D8:E8"/>
    <mergeCell ref="D25:E25"/>
    <mergeCell ref="D39:E39"/>
    <mergeCell ref="D55:E55"/>
    <mergeCell ref="D68:E68"/>
    <mergeCell ref="D24:E24"/>
    <mergeCell ref="C5:E5"/>
    <mergeCell ref="D30:E30"/>
    <mergeCell ref="D15:E15"/>
    <mergeCell ref="D33:E33"/>
    <mergeCell ref="D42:E42"/>
    <mergeCell ref="D29:E29"/>
    <mergeCell ref="D64:E64"/>
    <mergeCell ref="D51:E51"/>
    <mergeCell ref="D23:E23"/>
    <mergeCell ref="D38:E38"/>
    <mergeCell ref="C4:E4"/>
    <mergeCell ref="D14:E14"/>
    <mergeCell ref="D67:E67"/>
    <mergeCell ref="D54:E54"/>
    <mergeCell ref="D50:E50"/>
    <mergeCell ref="D26:E26"/>
    <mergeCell ref="D44:E44"/>
    <mergeCell ref="D59:E59"/>
    <mergeCell ref="D35:E35"/>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5" zoomScale="100" workbookViewId="0">
      <selection activeCell="A1" activeCellId="0" sqref="A1"/>
    </sheetView>
  </sheetViews>
  <sheetFormatPr baseColWidth="8" defaultRowHeight="14.25"/>
  <cols>
    <col customWidth="1" min="1" max="1" width="5"/>
    <col customWidth="1" min="2" max="2" width="120"/>
  </cols>
  <sheetData>
    <row r="2" ht="19.5">
      <c r="B2" s="152" t="s">
        <v>954</v>
      </c>
    </row>
    <row r="3">
      <c r="B3" s="153" t="s">
        <v>955</v>
      </c>
    </row>
    <row r="6" ht="15">
      <c r="B6" s="154" t="s">
        <v>956</v>
      </c>
    </row>
    <row r="7" ht="227.25" customHeight="1">
      <c r="B7" s="155" t="s">
        <v>957</v>
      </c>
    </row>
    <row r="14" ht="15">
      <c r="B14" s="154" t="s">
        <v>958</v>
      </c>
    </row>
    <row r="15">
      <c r="B15" s="155" t="s">
        <v>959</v>
      </c>
    </row>
    <row r="20" ht="15">
      <c r="B20" s="154" t="s">
        <v>960</v>
      </c>
    </row>
    <row r="22" ht="171">
      <c r="B22" s="155" t="s">
        <v>961</v>
      </c>
    </row>
    <row r="30" ht="201.75" customHeight="1">
      <c r="B30" s="155" t="s">
        <v>962</v>
      </c>
    </row>
    <row r="38" ht="185.25">
      <c r="B38" s="155" t="s">
        <v>963</v>
      </c>
    </row>
    <row r="46" ht="171">
      <c r="B46" s="155" t="s">
        <v>964</v>
      </c>
    </row>
    <row r="54" ht="185.25">
      <c r="B54" s="155" t="s">
        <v>965</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7</cp:revision>
  <dcterms:created xsi:type="dcterms:W3CDTF">2026-06-14T03:01:14Z</dcterms:created>
  <dcterms:modified xsi:type="dcterms:W3CDTF">2026-06-14T16:28:27Z</dcterms:modified>
</cp:coreProperties>
</file>